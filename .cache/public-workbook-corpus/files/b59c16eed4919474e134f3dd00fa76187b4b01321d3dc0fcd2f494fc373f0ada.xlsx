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166925"/>
  <mc:AlternateContent xmlns:mc="http://schemas.openxmlformats.org/markup-compatibility/2006">
    <mc:Choice Requires="x15">
      <x15ac:absPath xmlns:x15ac="http://schemas.microsoft.com/office/spreadsheetml/2010/11/ac" url="C:\Users\turcotk2\AppData\Roaming\OpenText\OTEdit\GCDocs\c60078990\"/>
    </mc:Choice>
  </mc:AlternateContent>
  <xr:revisionPtr revIDLastSave="0" documentId="13_ncr:1_{27BCE0EA-4E78-465A-8DD6-2EAFAB002AA7}" xr6:coauthVersionLast="47" xr6:coauthVersionMax="47" xr10:uidLastSave="{00000000-0000-0000-0000-000000000000}"/>
  <bookViews>
    <workbookView xWindow="-120" yWindow="-120" windowWidth="29040" windowHeight="15720" tabRatio="700" xr2:uid="{80E22974-BD9E-4202-A0D6-F2ED70FFA7B9}"/>
  </bookViews>
  <sheets>
    <sheet name="Page couverture" sheetId="46" r:id="rId1"/>
    <sheet name="Notes " sheetId="41" r:id="rId2"/>
    <sheet name="Index" sheetId="38" r:id="rId3"/>
    <sheet name="Tableau 1" sheetId="2" r:id="rId4"/>
    <sheet name="Tableau 2" sheetId="42" r:id="rId5"/>
    <sheet name="Tableau 3" sheetId="4" r:id="rId6"/>
    <sheet name="Tableau 4" sheetId="5" r:id="rId7"/>
    <sheet name="Tableau 5" sheetId="6" r:id="rId8"/>
    <sheet name="Tableau 6" sheetId="7" r:id="rId9"/>
    <sheet name="Tableau 7" sheetId="8" r:id="rId10"/>
    <sheet name="Tableau 8" sheetId="35" r:id="rId11"/>
    <sheet name="Tableau 9" sheetId="10" r:id="rId12"/>
    <sheet name="Tableau 10" sheetId="11" r:id="rId13"/>
    <sheet name="Tableau 11" sheetId="12" r:id="rId14"/>
    <sheet name="Tableau 12" sheetId="13" r:id="rId15"/>
    <sheet name="Tableau 13" sheetId="40" r:id="rId16"/>
    <sheet name="Tableau 14" sheetId="27" r:id="rId17"/>
    <sheet name="Tableau 15" sheetId="28" r:id="rId18"/>
    <sheet name="Tableau 16" sheetId="29" r:id="rId19"/>
    <sheet name="Tableau 17" sheetId="14" r:id="rId20"/>
    <sheet name="Tableau 18" sheetId="15" r:id="rId21"/>
    <sheet name="Tableau 19" sheetId="44" r:id="rId22"/>
    <sheet name="Tableau 20" sheetId="43" r:id="rId23"/>
    <sheet name="Tableau 21" sheetId="16" r:id="rId24"/>
    <sheet name="Tableau 22" sheetId="17" r:id="rId25"/>
    <sheet name="Tableau 23" sheetId="18" r:id="rId26"/>
    <sheet name="Tableau 24" sheetId="45" r:id="rId27"/>
  </sheets>
  <definedNames>
    <definedName name="_xlnm._FilterDatabase" localSheetId="7" hidden="1">'Tableau 5'!$A$21:$G$84</definedName>
    <definedName name="_xlnm._FilterDatabase" localSheetId="8" hidden="1">'Tableau 6'!$A$15:$G$71</definedName>
    <definedName name="_xlnm._FilterDatabase" localSheetId="9" hidden="1">'Tableau 7'!$A$14:$G$77</definedName>
    <definedName name="CIQWBGuid" hidden="1">"b9a9a99a-4cb3-428d-aeaf-6e7b65d80d1d"</definedName>
    <definedName name="EURCAD">1.4222</definedName>
    <definedName name="Fdrsgn" hidden="1">"3a8f5bd4-bc99-4c5b-b3a4-601b62886590"</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44047.8196412037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QUERY_RESUL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8" l="1"/>
  <c r="C9" i="18"/>
  <c r="B9" i="17"/>
  <c r="C15" i="16"/>
  <c r="B15" i="16"/>
  <c r="B11" i="44"/>
  <c r="D8" i="15"/>
  <c r="D9" i="14"/>
  <c r="G5" i="13"/>
  <c r="H5" i="13" s="1"/>
  <c r="D5" i="13"/>
  <c r="H5" i="35"/>
  <c r="G5" i="35"/>
  <c r="D8" i="8"/>
  <c r="D9" i="7"/>
  <c r="E7" i="7" s="1"/>
  <c r="D14" i="6"/>
  <c r="E8" i="15" l="1"/>
  <c r="E9" i="14"/>
  <c r="E5" i="7"/>
  <c r="E6" i="7"/>
  <c r="E8" i="7"/>
</calcChain>
</file>

<file path=xl/sharedStrings.xml><?xml version="1.0" encoding="utf-8"?>
<sst xmlns="http://schemas.openxmlformats.org/spreadsheetml/2006/main" count="512" uniqueCount="224">
  <si>
    <t>Total</t>
  </si>
  <si>
    <t>Northleaf Venture Catalyst Fund II</t>
  </si>
  <si>
    <t>Teralys Capital Innovation Fund 2018</t>
  </si>
  <si>
    <t>Kensington Venture Fund II</t>
  </si>
  <si>
    <t>HarbourVest Canada Growth Fund II</t>
  </si>
  <si>
    <t>Europe</t>
  </si>
  <si>
    <t>Brightspark Canadian Opportunities Fund</t>
  </si>
  <si>
    <t>Build Ventures II</t>
  </si>
  <si>
    <t>Garage Capital III*</t>
  </si>
  <si>
    <t>Highline BETA</t>
  </si>
  <si>
    <t>TandemLaunch III</t>
  </si>
  <si>
    <t>ArcTernVentures II</t>
  </si>
  <si>
    <t>Cycle Capital Fund IV</t>
  </si>
  <si>
    <t>Renewal4 Investment Fund</t>
  </si>
  <si>
    <t xml:space="preserve"> </t>
  </si>
  <si>
    <t xml:space="preserve">Total </t>
  </si>
  <si>
    <t>Ontario</t>
  </si>
  <si>
    <t>Alberta</t>
  </si>
  <si>
    <t>Saskatchewan</t>
  </si>
  <si>
    <t>Manitoba</t>
  </si>
  <si>
    <t>Whitecap Venture Partners IV</t>
  </si>
  <si>
    <t xml:space="preserve">White Star Capital III </t>
  </si>
  <si>
    <t xml:space="preserve">Version One Ventures IV </t>
  </si>
  <si>
    <t>Version One Ventures II</t>
  </si>
  <si>
    <t>Version One Ventures I</t>
  </si>
  <si>
    <t>Version One Opportunities Fund II</t>
  </si>
  <si>
    <t xml:space="preserve">Version One Opportunities Fund I </t>
  </si>
  <si>
    <t>Versant Voyageurs II</t>
  </si>
  <si>
    <t>Versant Venture Capital VIII</t>
  </si>
  <si>
    <t>Versant Venture Capital VII</t>
  </si>
  <si>
    <t>Versant Vantage II</t>
  </si>
  <si>
    <t>Vanedge Capital III</t>
  </si>
  <si>
    <t>TVM Life Science Innovation II</t>
  </si>
  <si>
    <t>StandUp Ventures II</t>
  </si>
  <si>
    <t>StandUp Ventures I</t>
  </si>
  <si>
    <t>Relay Ventures V</t>
  </si>
  <si>
    <t>Portage Ventures III</t>
  </si>
  <si>
    <t>Mistral Venture Partners III</t>
  </si>
  <si>
    <t>McRock Capital Fund II</t>
  </si>
  <si>
    <t>Lumira Ventures IV</t>
  </si>
  <si>
    <t>Inovia Venture Fund V</t>
  </si>
  <si>
    <t xml:space="preserve">iNovia Investment Fund 2018 </t>
  </si>
  <si>
    <t>iNovia Growth Fund II</t>
  </si>
  <si>
    <t xml:space="preserve">iNovia Growth Fund </t>
  </si>
  <si>
    <t>Information Venture Partners III</t>
  </si>
  <si>
    <t>Highline BETA Fund 2019</t>
  </si>
  <si>
    <t>Golden Ventures Opportunities Fund II L.P.</t>
  </si>
  <si>
    <t>Golden Ventures Opportunities Fund I</t>
  </si>
  <si>
    <t>Golden Venture Partners Fund IV</t>
  </si>
  <si>
    <t>Golden Venture Partners Fund III</t>
  </si>
  <si>
    <t>Georgian Partners Growth Fund VI</t>
  </si>
  <si>
    <t>Georgian Partners Growth Fund V</t>
  </si>
  <si>
    <t>Georgian Alignment Fund II</t>
  </si>
  <si>
    <t>Garage Capital Opportunities Fund II</t>
  </si>
  <si>
    <t>Garage Capital Opportunities Fund I</t>
  </si>
  <si>
    <t>Garage Capital Fund IV</t>
  </si>
  <si>
    <t>Garage Capital Fund III</t>
  </si>
  <si>
    <t>First Ascent Ventures II</t>
  </si>
  <si>
    <t>CTI Life Sciences Fund III</t>
  </si>
  <si>
    <t>Build Ventures Fund II</t>
  </si>
  <si>
    <t>BrandProject Capital Fund II</t>
  </si>
  <si>
    <t>ArcTern Ventures II</t>
  </si>
  <si>
    <t>Amplitude Ventures Fund I</t>
  </si>
  <si>
    <t>En collaboration avec</t>
  </si>
  <si>
    <t>Direction générale de la petite entreprise</t>
  </si>
  <si>
    <t xml:space="preserve">Innovation, Sciences et Développement économique Canada </t>
  </si>
  <si>
    <t xml:space="preserve">Produit par </t>
  </si>
  <si>
    <t>Tableaux de données</t>
  </si>
  <si>
    <t xml:space="preserve">l'Initiative de catalyse du capital de risque 2017 </t>
  </si>
  <si>
    <t xml:space="preserve">Indicateurs de performance de  </t>
  </si>
  <si>
    <t>la Banque de développement du Canada</t>
  </si>
  <si>
    <t>Capital réuni par les fonds de fonds de l'ICCR de 2017</t>
  </si>
  <si>
    <t xml:space="preserve">
Tableau</t>
  </si>
  <si>
    <t xml:space="preserve">Notes:
- Les paramètres de cette section se rapportent aux activités des quatre fonds de fonds sélectionnés dans le cadre du volet 1 de l'ICCR de 2017.
</t>
  </si>
  <si>
    <t xml:space="preserve">
Tableau 1 : Capital réuni par les fonds de fonds de l'ICCR de 2017</t>
  </si>
  <si>
    <t>Fonds de fonds</t>
  </si>
  <si>
    <t>Capital réuni ($)</t>
  </si>
  <si>
    <t>Engagements totaux ($)</t>
  </si>
  <si>
    <t>Type d’investisseurs participant à l’ICCR</t>
  </si>
  <si>
    <t>Pourcentage des engagements</t>
  </si>
  <si>
    <t xml:space="preserve">Gouvernement du Canada	</t>
  </si>
  <si>
    <t>Provinces</t>
  </si>
  <si>
    <t>Caisses de retraite</t>
  </si>
  <si>
    <t>Institutions financières et compagnies d'assurance</t>
  </si>
  <si>
    <t>Fonds de dotation</t>
  </si>
  <si>
    <t>Fonds de détail</t>
  </si>
  <si>
    <t>Entreprises stratégiques</t>
  </si>
  <si>
    <t>Particuliers fortunés et Sociétés de gestion d'actifs</t>
  </si>
  <si>
    <t>Commanditaires</t>
  </si>
  <si>
    <t>Tableau 2 : Types d'investisseurs participant aux fonds de fonds de l'ICCR de 2017</t>
  </si>
  <si>
    <t>Notes :
- Les paramètres de cette section se rapportent aux activités des quatre fonds de fonds sélectionnés dans le cadre du volet 1 de l'ICCR de 2017.
- Au total, 1 176 milliard de dollars ont été réunis par les quatre fonds de fonds auprès d'investisseurs des secteurs public et privé, y compris environ 279 millions de dollars du gouvernement du Canada par le biais de l'ICCR de 2017.</t>
  </si>
  <si>
    <t>Nombre d'investisseurs</t>
  </si>
  <si>
    <t>Notes:
- Les paramètres de cette section se rapportent aux activités des quatre fonds de fonds sélectionnés dans le cadre du volet 1 de l'ICCR de 2017.
- Nombre d'investisseurs : répartition du portefeuille des quatre fonds de fonds.</t>
  </si>
  <si>
    <t>Nationalité de l'investisseur</t>
  </si>
  <si>
    <t>Canada (secteur privé)</t>
  </si>
  <si>
    <t xml:space="preserve">Canada (secteur public)	</t>
  </si>
  <si>
    <t>États-Unis</t>
  </si>
  <si>
    <t>Reste du monde</t>
  </si>
  <si>
    <t>Investissements directs dans des entreprises canadiennes</t>
  </si>
  <si>
    <t>Investissements directs dans des entreprises non canadiennes</t>
  </si>
  <si>
    <t>Engagements auprès de fonds canadiens</t>
  </si>
  <si>
    <t>Engagements auprès de fonds non canadiens</t>
  </si>
  <si>
    <t>Catégorie</t>
  </si>
  <si>
    <t xml:space="preserve">Notes:
- Les paramètres de cette section se rapportent aux activités des quatre fonds de fonds sélectionnés dans le cadre du volet 1 de l'ICCR de 2017.
- Répartition du portefeuille de l'ensemble des quatre fonds de fonds.
</t>
  </si>
  <si>
    <t xml:space="preserve">Répartition des investissements directs et indirects des fonds de fonds </t>
  </si>
  <si>
    <t xml:space="preserve">Nationalité des investisseurs participants aux fonds de fonds </t>
  </si>
  <si>
    <t xml:space="preserve">Types d'investisseurs participant aux fonds de fonds </t>
  </si>
  <si>
    <t xml:space="preserve">Notes:
- Les paramètres de cette section se rapportent aux activités des quatre fonds de fonds sélectionnés dans le cadre du volet 1 de l'ICCR de 2017.
- Engagements des fonds de fonds auprès de fonds de capital de risque canadiens
</t>
  </si>
  <si>
    <t>Nombre de fonds</t>
  </si>
  <si>
    <t xml:space="preserve">Pourcentage des fonds </t>
  </si>
  <si>
    <t>Emplacement du siège du gestionnaire de fonds</t>
  </si>
  <si>
    <t>Colombie-Britannique</t>
  </si>
  <si>
    <t>Terre-Neuve-et-Labrador</t>
  </si>
  <si>
    <t>Nouvelle-Écosse</t>
  </si>
  <si>
    <t>Nouveau-Brunswick</t>
  </si>
  <si>
    <t>Québec</t>
  </si>
  <si>
    <t>Répartition au Canada des engagements de fonds de fonds</t>
  </si>
  <si>
    <t>Tableau 3 : Nationalité des investisseurs participants aux fonds de fonds de l'ICCR de 2017</t>
  </si>
  <si>
    <t>Démarrage</t>
  </si>
  <si>
    <t>Stade précoce</t>
  </si>
  <si>
    <t>Stade tardif</t>
  </si>
  <si>
    <t xml:space="preserve">Croissance	</t>
  </si>
  <si>
    <t>Stade de développement principalement visé</t>
  </si>
  <si>
    <t xml:space="preserve">Stade de développement principalement visé par les engagements des fonds de fonds canadiens </t>
  </si>
  <si>
    <t>Secteur principalement visé</t>
  </si>
  <si>
    <t>Énergie et technologies propres</t>
  </si>
  <si>
    <t>Sciences de la vie</t>
  </si>
  <si>
    <t>Technologies de l'information et des communications</t>
  </si>
  <si>
    <t>Pourcentage utilisé</t>
  </si>
  <si>
    <t>Rapport valeur totale – capital utilisé</t>
  </si>
  <si>
    <t>Notes:
- Les paramètres de cette section se rapportent aux activités des quatre fonds de fonds sélectionnés dans le cadre du volet 1 de l'ICCR de 2017.
- Les indicateurs se rapportent au rendement combiné des investissements publics et privés.
- Le capital utilisé correspond aux sommes puisées par les fonds pour leurs activités.
- Les sommes distribuées sont les sommes reversées aux investisseurs.
- La juste valeur se rapporte à la valeur du solde des investissements.
- Valeur totale = Juste valeur + Sommes distribuées
- Rapport valeur totale-capital utilisé = Valeur totale ÷ Capital utilisé</t>
  </si>
  <si>
    <t>Rendement interne brut commun</t>
  </si>
  <si>
    <t>Fonds</t>
  </si>
  <si>
    <t>Capital de l'ICCR de 2017 engagé</t>
  </si>
  <si>
    <t>Notes:
- Les paramètres de cette section se rapportent aux activités des cinq fonds de capital de risque sélectionnés dans le cadre du volet 2, qui combinés ont reçu des engagements de 42,5 millions de dollars par l'entremise de l'ICCR de 2017.
- Engagements auprès des fonds du volet 2
- Garage Capital II est libellé en USD. Les engagements de l'ICCR de 2017 sont libellées en USD et comprennent des provisions pour les fluctuations de taux de change.</t>
  </si>
  <si>
    <t xml:space="preserve">Investissement du gouvernement du Canada dans les fonds sélectionnés dans le cadre du volet 2 de l'ICCR </t>
  </si>
  <si>
    <t xml:space="preserve">Rendement du portefeuille des fonds de fonds de l'ICCR </t>
  </si>
  <si>
    <t>Secteurs principalement visés par les engagements de fonds de fonds canadiens</t>
  </si>
  <si>
    <t>Engagements totaux (M$)</t>
  </si>
  <si>
    <t>Croissance</t>
  </si>
  <si>
    <t xml:space="preserve">Stade de développement principalement visé par les engagements des fonds sélectionnés dans le cadre du volet 2 de l'ICCR  </t>
  </si>
  <si>
    <t>Notes:
- Les paramètres de cette section se rapportent aux activités des cinq fonds de capital de risque sélectionnés dans le cadre du volet 2, qui combinés ont reçu des engagements de 42,5 millions de dollars par l'entremise de l'ICCR de 2017.
- Engagements auprès des fonds du volet 2</t>
  </si>
  <si>
    <t>Secteur principalement visé par les engagements des fonds sélectionnés dans le cadre du volet 2 de l'ICCR</t>
  </si>
  <si>
    <t xml:space="preserve">Notes:
- Les paramètres de cette section se rapportent aux activités des cinq fonds de capital de risque sélectionnés dans le cadre du volet 2, qui combinés ont reçu des engagements de 42,5 millions de dollars par l'entremise de l'ICCR de 2017.
- Le capital utilisé correspond aux sommes puisées par les fonds pour leurs activités.
- Les sommes distribuées sont les sommes reversées aux investisseurs.
- La juste valeur se rapporte à la valeur du solde des investissements.
- Valeur totale = Juste valeur + Sommes distribuées
- Rapport valeur totale-capital utilisé = Valeur totale ÷ Capital utilisé
</t>
  </si>
  <si>
    <t>Fonds du volet 2</t>
  </si>
  <si>
    <t>Catégorie de volet</t>
  </si>
  <si>
    <t xml:space="preserve">Rendement de l'investissement du gouvernement du Canada des fonds sélectionnés dans le cadre du volet 2 de l'ICCR </t>
  </si>
  <si>
    <t>Capital de l'ICCR de 2017 engagé ($)</t>
  </si>
  <si>
    <t>Notes:
- Les paramètres de cette section se rapportent aux activités des trois fonds de capital de risque sélectionnés dans le cadre du volet 3, qui combinés ont reçu des engagements de 50 millions de dollars par l'entremise de l'ICCR de 2017.
- Engagements auprès des fonds du volet 3</t>
  </si>
  <si>
    <t xml:space="preserve">Stade de développement principalement visé par les engagements des fonds sélectionnés dans le cadre du volet 3 de l'ICCR </t>
  </si>
  <si>
    <t xml:space="preserve">Investissement du gouvernement du Canada dans les fonds sélectionnés dans le cadre du volet 3 de l'ICCR </t>
  </si>
  <si>
    <t xml:space="preserve">  </t>
  </si>
  <si>
    <t>Notes:
 - Les paramètres de cette section se rapportent aux activités des trois fonds de capital de risque sélectionnés dans le cadre du volet 3, qui combinés ont reçu des engagements de 50 millions de dollars par l'entremise de l'ICCR de 2017.
- Le capital utilisé correspond aux sommes puisées par les fonds pour leurs activités.
- Les sommes distribuées sont les sommes reversées aux investisseurs.
- La juste valeur se rapporte à la valeur du solde des investissements.
- Valeur totale = Juste valeur + Sommes distribuées
- Rapport valeur totale-capital utilisé = Valeur totale ÷ Capital utilisé</t>
  </si>
  <si>
    <t>Fonds du volet 3</t>
  </si>
  <si>
    <t xml:space="preserve">Rendement de l'investissement du gouvernement du Canada des fonds sélectionnés dans le cadre du volet 3 de l'ICCR </t>
  </si>
  <si>
    <t>Secteur principalement visé par les engagements des fonds sélectionnés dans le cadre du volet 3 de l'ICCR</t>
  </si>
  <si>
    <t>Notes:
- Les paramètres de cette section se rapportent aux activités globales des quatre fonds de fonds et des huit fonds de capital de risque qui ont reçu des investissements dans le cadre de l'ICCR de 2017.
- Engagements auprès des fonds de capital de risque canadien</t>
  </si>
  <si>
    <t>Pourcentage du capital investi dans le secteur des technologies propres</t>
  </si>
  <si>
    <t>Sous-secteur des technologies propres</t>
  </si>
  <si>
    <t>Économie circulaire</t>
  </si>
  <si>
    <t>Efficacité énergétique</t>
  </si>
  <si>
    <t>Alimentation et agriculture</t>
  </si>
  <si>
    <t>Transport</t>
  </si>
  <si>
    <t>L'eau</t>
  </si>
  <si>
    <t>Matériaux de pointe</t>
  </si>
  <si>
    <t>Notes:
-  Les paramètres de cette section se rapportent aux activités globales des quatre fonds de fonds et des huit fonds de capital de risque qui ont reçu des investissements dans le cadre de l'ICCR de 2017.
- Engagements auprès des fonds de capital de risque canadien</t>
  </si>
  <si>
    <t xml:space="preserve">Répartition des sous-secteurs de technologies propres des investissements dans tous les volets de l'ICCR </t>
  </si>
  <si>
    <t>Secteur principalement visé par l'ensemble des engagements de l'ICCR de 2017 envers les fonds canadiens</t>
  </si>
  <si>
    <t>Stade de développement principalement visé par l'ensemble des engagements de l'ICCR de 2017 envers les fonds canadiens</t>
  </si>
  <si>
    <t>Notes:
- Les paramètres de cette section se rapportent aux activités globales des quatre fonds de fonds et des huit fonds de capital de risque qui ont reçu des investissements dans le cadre de l'ICCR de 2017.</t>
  </si>
  <si>
    <t>Nombre de gestionnaires de fonds canadiens soutenus par l'ICCR de 2017</t>
  </si>
  <si>
    <t>Total ayant levé des fonds subséquents</t>
  </si>
  <si>
    <t>Pourcentage des fonds qui ont levé des fonds supplémentaires</t>
  </si>
  <si>
    <t>Nombre d'entreprises</t>
  </si>
  <si>
    <t>Pourcentage du total</t>
  </si>
  <si>
    <t>Emplacement du siège social de l'entreprise</t>
  </si>
  <si>
    <t>Île-du-Prince-Édouard</t>
  </si>
  <si>
    <t>Répartition au Canada de l'ensemble des investissements de l'ICCR de 2017 dans des entreprises</t>
  </si>
  <si>
    <t>Proportion de gestionnaires de fonds canadiens de CR visés par l'ICCR de 2017 qui amassent des fonds subséquents</t>
  </si>
  <si>
    <t>Stade de développement à l'investissement initial</t>
  </si>
  <si>
    <t>Secteur primaire</t>
  </si>
  <si>
    <t>Autres entreprises</t>
  </si>
  <si>
    <t>Nom du fonds</t>
  </si>
  <si>
    <t xml:space="preserve">	Activité du secteur</t>
  </si>
  <si>
    <t>Étape de la phase</t>
  </si>
  <si>
    <t>Lieu</t>
  </si>
  <si>
    <t>Stades de développement principalement visés par l'ensemble des investissements de l'ICCR dans des entreprises canadiennes</t>
  </si>
  <si>
    <t xml:space="preserve">Secteurs principalement visés par l'ensemble des investissements de l'ICCR dans des entreprises canadiennes </t>
  </si>
  <si>
    <t xml:space="preserve">Fonds de capital de risque soutenus par l'ICCR </t>
  </si>
  <si>
    <t>Millésime</t>
  </si>
  <si>
    <t>– 31 décembre 2024</t>
  </si>
  <si>
    <t>Indicateurs de performance de l’ICCR de 2017– 31 décembre 2024</t>
  </si>
  <si>
    <t>Tableau 4 : Répartition des investissements directs et indirects des fonds de fonds (au 31 décembre 2024)</t>
  </si>
  <si>
    <t>Tableau 6 : Stade de développement principalement visé par les engagements des fonds de fonds canadiens (au 31 décembre 2024)</t>
  </si>
  <si>
    <t>Tableau 7 : Secteurs principalement visés par les engagements de fonds de fonds canadiens (au 31 décembre 2024)</t>
  </si>
  <si>
    <t>Montant réuni par les fonds de fonds ($)</t>
  </si>
  <si>
    <t>Sommes utilisées ($)</t>
  </si>
  <si>
    <t>Sommes distribuées ($)</t>
  </si>
  <si>
    <t>Juste valeur ($)</t>
  </si>
  <si>
    <t>Valeur totale ($)</t>
  </si>
  <si>
    <t>Tableau 8 : Rendement du portefeuille des fonds de fonds de l'ICCR de 2017 (au 31 décembre 2024)</t>
  </si>
  <si>
    <t>Tableau 9 : Investissement du gouvernement du Canada dans les fonds sélectionnés dans le cadre du volet 2 de l'ICCR de 2017 (au 31 décembre 2024)</t>
  </si>
  <si>
    <t>Tableau 10 : Stade de développement principalement visé par les engagements des fonds sélectionnés dans le cadre du volet 2 de l'ICCR  (au 31 décembre 2024)</t>
  </si>
  <si>
    <t>Tableau 11 : Secteur principalement visé par les engagements des fonds sélectionnés dans le cadre du volet 2 de l'ICCR (au 31 décembre 2024)</t>
  </si>
  <si>
    <t>Montant engagé ($)</t>
  </si>
  <si>
    <t>Tableau 12 : Rendement de l'investissement du gouvernement du Canada des fonds sélectionnés dans le cadre du volet 2 de l'ICCR (au 31 décembre 2024)</t>
  </si>
  <si>
    <t>Tableau 13 : Investissement du gouvernement du Canada dans les fonds sélectionnés dans le cadre du volet 3 de l'ICCR de 2017 (au 31 décembre 2024)</t>
  </si>
  <si>
    <t>Tableau 14 : Stade de développement principalement visé par les engagements des fonds sélectionnés dans le cadre du volet 3 de l'ICCR (au 31 décembre 2024)</t>
  </si>
  <si>
    <t>Tableau 15 : Secteur principalement visé par les engagements des fonds sélectionnés dans le cadre du volet 3 de l'ICCR (au 31 décembre 2024)</t>
  </si>
  <si>
    <t>Tableau 16 : Rendement de l'investissement du gouvernement du Canada des fonds sélectionnés dans le cadre du volet 3 de l'ICCR (au 31 décembre 2024)</t>
  </si>
  <si>
    <t>Tableau 17 : Stade de développement principalement visé par l'ensemble des engagements de l'ICCR de 2017 envers les fonds canadiens (au 31 décembre 2024)</t>
  </si>
  <si>
    <t>Tableau 18 : Secteur principalement visé par l'ensemble des engagements de l'ICCR de 2017 envers les fonds canadiens (au 31 décembre 2024)</t>
  </si>
  <si>
    <t>Tableau 19 : Répartition des sous-secteurs de technologies propres des investissements dans tous les volets de l'ICCR de 2017 (au 31 décembre 2024)</t>
  </si>
  <si>
    <t>Tableau 20 : Proportion de gestionnaires de fonds canadiens de CR visés par l'ICCR de 2017 qui amassent des fonds subséquents (au 31 décembre 2024)</t>
  </si>
  <si>
    <t>Tableau 21 : Répartition au Canada de l'ensemble des investissements de l'ICCR de 2017 dans des entreprises (au 31 décembre 2024)</t>
  </si>
  <si>
    <t>Tableau 22 : Stades de développement principalement visés par l'ensemble des investissements de l'ICCR dans des entreprises canadiennes (au 31 décembre 2024)</t>
  </si>
  <si>
    <t>Tableau 23 : Secteurs principalement visés par l'ensemble des investissements de l'ICCR de 2017 dans des entreprises canadiennes (au 31 décembre 2024)</t>
  </si>
  <si>
    <t>Table 24 : Fonds de capital de risque soutenus par l'ICCR de 2017 (au 31 décembre 2024)</t>
  </si>
  <si>
    <t>Notes:
- Au 31 décembre 2024, les fonds de capital de risque qui ont reçu le soutien de l'ICCR de 2017 ont investi au total 1,9 milliard de dollars, toutes sources d'investissement confondues, dans au moins 446 entreprises canadiennes. Ce chiffre peut varier d'une année à l'autre car il est basé sur les rapports annuels des bénéficiaires, et contient des informations obtenues sur la base d'efforts commercialement raisonnables de la part des fonds de capital de risque sous-jacents (des bénéficiaires de fonds de fonds) et des entreprises de portefeuille des fonds. Ces données ne sont pas vérifiées et elles peuvent ne pas convenir pour des comparaisons d'une année à l'autre.</t>
  </si>
  <si>
    <t>Notes:
- Au 31 décembre 2024, les fonds de capital de risque qui ont reçu le soutien de l'ICCR de 2017 ont investi au total 2,9 milliard de dollars, toutes sources d'investissement confondues, dans au moins 446 entreprises canadiennes. Ce chiffre peut varier d'une année à l'autre car il est basé sur les rapports annuels des bénéficiaires, et contient des informations obtenues sur la base d'efforts commercialement raisonnables de la part des fonds de capital de risque sous-jacents (des bénéficiaires de fonds de fonds) et des entreprises de portefeuille des fonds. Ces données ne sont pas vérifiées et elles peuvent ne pas convenir pour des comparaisons d'une année à l'autre.</t>
  </si>
  <si>
    <t>Notes:
- Cette tableau est mise à jour annuellement
- Liste des 47 fonds de capital de risque ayant obtenu des engagements dans le cadre de l'Initiative de catalyse du capital de risque de 2017 (ICCR de 2017) jusqu'au 31 décembre 2024.  
- Cela comprend les fonds de capital-risque canadiens investis par les fonds de fonds sélectionnés dans le cadre du volet 1 et les fonds sélectionnés dans le cadre des volets 2 et 3 de l'ICCR.</t>
  </si>
  <si>
    <t>Tableau 5 : Répartition au Canada des engagements de fonds de fonds (au 31 décembre 2024)</t>
  </si>
  <si>
    <r>
      <t>Diffusés le</t>
    </r>
    <r>
      <rPr>
        <sz val="12"/>
        <rFont val="Arial"/>
        <family val="2"/>
      </rPr>
      <t xml:space="preserve"> 31 mars</t>
    </r>
    <r>
      <rPr>
        <sz val="12"/>
        <color theme="1"/>
        <rFont val="Arial"/>
        <family val="2"/>
      </rPr>
      <t xml:space="preserve"> 2026</t>
    </r>
  </si>
  <si>
    <t>Mars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</si>
</sst>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44" formatCode="_-&quot;$&quot;* #,##0.00_-;\-&quot;$&quot;* #,##0.00_-;_-&quot;$&quot;* &quot;-&quot;??_-;_-@_-"/>
    <numFmt numFmtId="43" formatCode="_-* #,##0.00_-;\-* #,##0.00_-;_-* &quot;-&quot;??_-;_-@_-"/>
    <numFmt numFmtId="164" formatCode="#,##0.0"/>
    <numFmt numFmtId="165" formatCode="0.0%"/>
    <numFmt numFmtId="166" formatCode="0.0"/>
    <numFmt numFmtId="167" formatCode="&quot;$&quot;#,##0"/>
    <numFmt numFmtId="168" formatCode="0.00\x"/>
    <numFmt numFmtId="169" formatCode="_-* #,##0_-;\-* #,##0_-;_-* &quot;-&quot;??_-;_-@_-"/>
  </numFmts>
  <fonts count="27"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Arial"/>
      <family val="2"/>
    </font>
    <font>
      <b/>
      <sz val="13"/>
      <color theme="1"/>
      <name val="Calibri"/>
      <family val="2"/>
      <scheme val="minor"/>
    </font>
    <font>
      <sz val="13"/>
      <color theme="1"/>
      <name val="Calibri"/>
      <family val="2"/>
      <scheme val="minor"/>
    </font>
    <font>
      <sz val="12"/>
      <color theme="1"/>
      <name val="Arial"/>
      <family val="2"/>
    </font>
    <font>
      <b/>
      <sz val="12"/>
      <color rgb="FF333333"/>
      <name val="Arial"/>
      <family val="2"/>
    </font>
    <font>
      <sz val="12"/>
      <name val="Arial"/>
      <family val="2"/>
    </font>
    <font>
      <sz val="11"/>
      <name val="Calibri"/>
      <family val="2"/>
      <scheme val="minor"/>
    </font>
    <font>
      <sz val="8"/>
      <name val="Calibri"/>
      <family val="2"/>
      <scheme val="minor"/>
    </font>
    <font>
      <b/>
      <sz val="12"/>
      <name val="Arial"/>
      <family val="2"/>
    </font>
    <font>
      <sz val="10"/>
      <name val="Arial"/>
      <family val="2"/>
    </font>
    <font>
      <u/>
      <sz val="10"/>
      <color indexed="12"/>
      <name val="Arial"/>
      <family val="2"/>
    </font>
    <font>
      <u/>
      <sz val="10"/>
      <name val="Arial"/>
      <family val="2"/>
    </font>
    <font>
      <sz val="8"/>
      <color theme="1"/>
      <name val="Arial"/>
      <family val="2"/>
    </font>
    <font>
      <sz val="8"/>
      <color rgb="FF333333"/>
      <name val="Arial"/>
      <family val="2"/>
    </font>
    <font>
      <sz val="8"/>
      <name val="Arial"/>
      <family val="2"/>
    </font>
    <font>
      <b/>
      <u/>
      <sz val="12"/>
      <name val="Arial"/>
      <family val="2"/>
    </font>
    <font>
      <b/>
      <sz val="11"/>
      <name val="Calibri"/>
      <family val="2"/>
      <scheme val="minor"/>
    </font>
    <font>
      <sz val="10"/>
      <color theme="1"/>
      <name val="Arial"/>
      <family val="2"/>
    </font>
    <font>
      <sz val="11"/>
      <color theme="1"/>
      <name val="Arial"/>
      <family val="2"/>
    </font>
    <font>
      <b/>
      <sz val="22"/>
      <color rgb="FF050A33"/>
      <name val="Arial"/>
      <family val="2"/>
    </font>
    <font>
      <b/>
      <sz val="18"/>
      <color theme="1"/>
      <name val="Arial"/>
      <family val="2"/>
    </font>
    <font>
      <b/>
      <sz val="22"/>
      <color theme="1"/>
      <name val="Arial"/>
      <family val="2"/>
    </font>
    <font>
      <b/>
      <sz val="24"/>
      <color rgb="FF050A33"/>
      <name val="Arial"/>
      <family val="2"/>
    </font>
    <font>
      <b/>
      <sz val="16"/>
      <color theme="1"/>
      <name val="Arial"/>
      <family val="2"/>
    </font>
  </fonts>
  <fills count="13">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0"/>
        <bgColor indexed="64"/>
      </patternFill>
    </fill>
    <fill>
      <patternFill patternType="solid">
        <fgColor theme="6" tint="0.59999389629810485"/>
        <bgColor indexed="65"/>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9">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2" borderId="1" applyNumberFormat="0" applyFont="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9"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2" fillId="0" borderId="0"/>
    <xf numFmtId="0" fontId="13" fillId="0" borderId="0" applyNumberFormat="0" applyFill="0" applyBorder="0" applyAlignment="0" applyProtection="0">
      <alignment vertical="top"/>
      <protection locked="0"/>
    </xf>
    <xf numFmtId="0" fontId="1" fillId="12" borderId="0" applyNumberFormat="0" applyBorder="0" applyAlignment="0" applyProtection="0"/>
  </cellStyleXfs>
  <cellXfs count="247">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0" fillId="0" borderId="0" xfId="0" applyAlignment="1">
      <alignment horizontal="left"/>
    </xf>
    <xf numFmtId="164" fontId="6" fillId="0" borderId="0" xfId="0" applyNumberFormat="1" applyFont="1" applyAlignment="1">
      <alignment horizontal="right"/>
    </xf>
    <xf numFmtId="9" fontId="6" fillId="0" borderId="0" xfId="0" applyNumberFormat="1" applyFont="1" applyAlignment="1">
      <alignment horizontal="right"/>
    </xf>
    <xf numFmtId="0" fontId="2" fillId="0" borderId="0" xfId="0" applyFont="1"/>
    <xf numFmtId="166" fontId="6" fillId="0" borderId="0" xfId="0" applyNumberFormat="1" applyFont="1"/>
    <xf numFmtId="0" fontId="0" fillId="0" borderId="0" xfId="8" applyFont="1" applyFill="1"/>
    <xf numFmtId="0" fontId="0" fillId="0" borderId="0" xfId="7" applyFont="1" applyFill="1"/>
    <xf numFmtId="0" fontId="0" fillId="0" borderId="2" xfId="8" applyFont="1" applyFill="1" applyBorder="1"/>
    <xf numFmtId="167" fontId="0" fillId="0" borderId="0" xfId="8" applyNumberFormat="1" applyFont="1" applyFill="1"/>
    <xf numFmtId="0" fontId="0" fillId="0" borderId="2" xfId="0" applyBorder="1"/>
    <xf numFmtId="167" fontId="0" fillId="0" borderId="0" xfId="0" applyNumberFormat="1"/>
    <xf numFmtId="0" fontId="0" fillId="0" borderId="2" xfId="7" applyFont="1" applyFill="1" applyBorder="1"/>
    <xf numFmtId="167" fontId="0" fillId="0" borderId="0" xfId="7" applyNumberFormat="1" applyFont="1" applyFill="1"/>
    <xf numFmtId="167" fontId="9" fillId="0" borderId="0" xfId="0" applyNumberFormat="1" applyFont="1"/>
    <xf numFmtId="3" fontId="6" fillId="0" borderId="0" xfId="0" applyNumberFormat="1" applyFont="1" applyAlignment="1">
      <alignment horizontal="right"/>
    </xf>
    <xf numFmtId="3" fontId="3" fillId="0" borderId="0" xfId="0" applyNumberFormat="1" applyFont="1" applyAlignment="1">
      <alignment horizontal="right"/>
    </xf>
    <xf numFmtId="9" fontId="3" fillId="0" borderId="0" xfId="0" applyNumberFormat="1" applyFont="1" applyAlignment="1">
      <alignment horizontal="right"/>
    </xf>
    <xf numFmtId="164" fontId="3" fillId="0" borderId="0" xfId="0" applyNumberFormat="1" applyFont="1" applyAlignment="1">
      <alignment horizontal="right"/>
    </xf>
    <xf numFmtId="3" fontId="6" fillId="0" borderId="0" xfId="0" applyNumberFormat="1" applyFont="1" applyAlignment="1">
      <alignment horizontal="center"/>
    </xf>
    <xf numFmtId="9" fontId="6" fillId="0" borderId="0" xfId="0" applyNumberFormat="1" applyFont="1"/>
    <xf numFmtId="9" fontId="3" fillId="0" borderId="0" xfId="0" applyNumberFormat="1" applyFont="1"/>
    <xf numFmtId="3" fontId="3" fillId="0" borderId="0" xfId="0" applyNumberFormat="1" applyFont="1" applyAlignment="1">
      <alignment horizontal="center"/>
    </xf>
    <xf numFmtId="0" fontId="6" fillId="0" borderId="0" xfId="0" applyFont="1" applyAlignment="1">
      <alignment horizontal="right"/>
    </xf>
    <xf numFmtId="169" fontId="0" fillId="0" borderId="0" xfId="1" applyNumberFormat="1" applyFont="1" applyFill="1"/>
    <xf numFmtId="169" fontId="0" fillId="0" borderId="0" xfId="1" applyNumberFormat="1" applyFont="1"/>
    <xf numFmtId="169" fontId="6" fillId="0" borderId="0" xfId="0" applyNumberFormat="1" applyFont="1"/>
    <xf numFmtId="166" fontId="6" fillId="0" borderId="0" xfId="1" applyNumberFormat="1" applyFont="1" applyAlignment="1">
      <alignment horizontal="right"/>
    </xf>
    <xf numFmtId="166" fontId="3" fillId="0" borderId="0" xfId="1" applyNumberFormat="1" applyFont="1" applyAlignment="1">
      <alignment horizontal="right"/>
    </xf>
    <xf numFmtId="166" fontId="6" fillId="0" borderId="0" xfId="0" applyNumberFormat="1" applyFont="1" applyAlignment="1">
      <alignment horizontal="right"/>
    </xf>
    <xf numFmtId="0" fontId="4" fillId="0" borderId="0" xfId="0" applyFont="1" applyAlignment="1">
      <alignment horizontal="center"/>
    </xf>
    <xf numFmtId="44" fontId="0" fillId="0" borderId="0" xfId="12" applyFont="1"/>
    <xf numFmtId="0" fontId="0" fillId="0" borderId="0" xfId="0" applyAlignment="1">
      <alignment horizontal="center"/>
    </xf>
    <xf numFmtId="0" fontId="12" fillId="11" borderId="5" xfId="16" applyFill="1" applyBorder="1"/>
    <xf numFmtId="0" fontId="12" fillId="11" borderId="6" xfId="16" applyFill="1" applyBorder="1"/>
    <xf numFmtId="0" fontId="12" fillId="11" borderId="6" xfId="16" applyFill="1" applyBorder="1" applyAlignment="1">
      <alignment vertical="center" wrapText="1"/>
    </xf>
    <xf numFmtId="0" fontId="12" fillId="11" borderId="6" xfId="16" applyFill="1" applyBorder="1" applyAlignment="1">
      <alignment horizontal="left" vertical="top"/>
    </xf>
    <xf numFmtId="3" fontId="12" fillId="11" borderId="6" xfId="16" applyNumberFormat="1" applyFill="1" applyBorder="1"/>
    <xf numFmtId="0" fontId="13" fillId="11" borderId="7" xfId="17" applyFill="1" applyBorder="1" applyAlignment="1" applyProtection="1">
      <alignment vertical="top" wrapText="1"/>
    </xf>
    <xf numFmtId="0" fontId="12" fillId="11" borderId="8" xfId="16" applyFill="1" applyBorder="1"/>
    <xf numFmtId="0" fontId="12" fillId="11" borderId="0" xfId="16" applyFill="1"/>
    <xf numFmtId="0" fontId="12" fillId="11" borderId="0" xfId="16" applyFill="1" applyAlignment="1">
      <alignment horizontal="left" vertical="center"/>
    </xf>
    <xf numFmtId="0" fontId="12" fillId="11" borderId="0" xfId="16" applyFill="1" applyAlignment="1">
      <alignment vertical="center"/>
    </xf>
    <xf numFmtId="0" fontId="13" fillId="11" borderId="9" xfId="17" applyFill="1" applyBorder="1" applyAlignment="1" applyProtection="1"/>
    <xf numFmtId="0" fontId="14" fillId="11" borderId="9" xfId="17" applyFont="1" applyFill="1" applyBorder="1" applyAlignment="1" applyProtection="1"/>
    <xf numFmtId="0" fontId="12" fillId="11" borderId="0" xfId="16" applyFill="1" applyAlignment="1">
      <alignment horizontal="left" vertical="top"/>
    </xf>
    <xf numFmtId="0" fontId="12" fillId="11" borderId="10" xfId="16" applyFill="1" applyBorder="1"/>
    <xf numFmtId="0" fontId="12" fillId="11" borderId="11" xfId="16" applyFill="1" applyBorder="1"/>
    <xf numFmtId="0" fontId="12" fillId="11" borderId="11" xfId="16" applyFill="1" applyBorder="1" applyAlignment="1">
      <alignment horizontal="left" vertical="top"/>
    </xf>
    <xf numFmtId="3" fontId="12" fillId="11" borderId="11" xfId="16" applyNumberFormat="1" applyFill="1" applyBorder="1"/>
    <xf numFmtId="0" fontId="13" fillId="11" borderId="12" xfId="17" applyFill="1" applyBorder="1" applyAlignment="1" applyProtection="1"/>
    <xf numFmtId="0" fontId="11" fillId="0" borderId="0" xfId="0" applyFont="1" applyAlignment="1">
      <alignment horizontal="center"/>
    </xf>
    <xf numFmtId="0" fontId="16" fillId="0" borderId="0" xfId="0" applyFont="1"/>
    <xf numFmtId="0" fontId="15" fillId="0" borderId="0" xfId="0" applyFont="1"/>
    <xf numFmtId="0" fontId="3" fillId="0" borderId="0" xfId="0" applyFont="1" applyAlignment="1">
      <alignment horizontal="center"/>
    </xf>
    <xf numFmtId="0" fontId="3" fillId="0" borderId="0" xfId="0" applyFont="1" applyAlignment="1">
      <alignment horizontal="left"/>
    </xf>
    <xf numFmtId="0" fontId="11" fillId="0" borderId="0" xfId="0" applyFont="1" applyAlignment="1">
      <alignment vertical="center"/>
    </xf>
    <xf numFmtId="0" fontId="3" fillId="0" borderId="0" xfId="0" applyFont="1" applyAlignment="1">
      <alignment vertical="center"/>
    </xf>
    <xf numFmtId="0" fontId="3" fillId="0" borderId="15" xfId="0" applyFont="1" applyBorder="1" applyAlignment="1">
      <alignment horizontal="left"/>
    </xf>
    <xf numFmtId="0" fontId="11" fillId="0" borderId="15" xfId="0" applyFont="1" applyBorder="1"/>
    <xf numFmtId="0" fontId="3" fillId="0" borderId="15" xfId="0" applyFont="1" applyBorder="1"/>
    <xf numFmtId="0" fontId="15" fillId="0" borderId="0" xfId="0" applyFont="1" applyAlignment="1">
      <alignment vertical="top" wrapText="1"/>
    </xf>
    <xf numFmtId="0" fontId="3" fillId="0" borderId="17" xfId="0" applyFont="1" applyBorder="1" applyAlignment="1">
      <alignment horizontal="left"/>
    </xf>
    <xf numFmtId="0" fontId="3" fillId="0" borderId="17" xfId="0" applyFont="1" applyBorder="1"/>
    <xf numFmtId="166" fontId="0" fillId="0" borderId="0" xfId="0" applyNumberFormat="1"/>
    <xf numFmtId="9" fontId="3" fillId="0" borderId="16" xfId="0" applyNumberFormat="1" applyFont="1" applyBorder="1" applyAlignment="1">
      <alignment horizontal="right"/>
    </xf>
    <xf numFmtId="166" fontId="6" fillId="0" borderId="0" xfId="1" applyNumberFormat="1" applyFont="1" applyBorder="1" applyAlignment="1">
      <alignment horizontal="right"/>
    </xf>
    <xf numFmtId="165" fontId="6" fillId="0" borderId="0" xfId="0" applyNumberFormat="1" applyFont="1" applyAlignment="1">
      <alignment horizontal="right"/>
    </xf>
    <xf numFmtId="166" fontId="3" fillId="0" borderId="0" xfId="1" applyNumberFormat="1" applyFont="1" applyBorder="1" applyAlignment="1">
      <alignment horizontal="right"/>
    </xf>
    <xf numFmtId="0" fontId="3" fillId="0" borderId="16" xfId="0" applyFont="1" applyBorder="1"/>
    <xf numFmtId="0" fontId="11" fillId="0" borderId="0" xfId="0" applyFont="1"/>
    <xf numFmtId="0" fontId="8" fillId="0" borderId="0" xfId="0" applyFont="1"/>
    <xf numFmtId="0" fontId="9" fillId="0" borderId="0" xfId="0" applyFont="1"/>
    <xf numFmtId="9" fontId="8" fillId="0" borderId="0" xfId="2" applyFont="1"/>
    <xf numFmtId="9" fontId="9" fillId="0" borderId="0" xfId="0" applyNumberFormat="1" applyFont="1"/>
    <xf numFmtId="3" fontId="9" fillId="0" borderId="0" xfId="0" applyNumberFormat="1" applyFont="1"/>
    <xf numFmtId="165" fontId="11" fillId="0" borderId="0" xfId="2" applyNumberFormat="1" applyFont="1"/>
    <xf numFmtId="3" fontId="11" fillId="0" borderId="16" xfId="0" applyNumberFormat="1" applyFont="1" applyBorder="1"/>
    <xf numFmtId="0" fontId="8" fillId="0" borderId="2" xfId="0" applyFont="1" applyBorder="1"/>
    <xf numFmtId="0" fontId="17" fillId="0" borderId="0" xfId="0" applyFont="1"/>
    <xf numFmtId="0" fontId="17" fillId="0" borderId="0" xfId="0" applyFont="1" applyAlignment="1">
      <alignment vertical="center"/>
    </xf>
    <xf numFmtId="166" fontId="8" fillId="0" borderId="0" xfId="0" applyNumberFormat="1" applyFont="1" applyAlignment="1">
      <alignment horizontal="right"/>
    </xf>
    <xf numFmtId="0" fontId="9" fillId="0" borderId="0" xfId="8" applyFont="1" applyFill="1"/>
    <xf numFmtId="167" fontId="9" fillId="0" borderId="0" xfId="8" applyNumberFormat="1" applyFont="1" applyFill="1" applyAlignment="1">
      <alignment horizontal="right"/>
    </xf>
    <xf numFmtId="0" fontId="11" fillId="0" borderId="0" xfId="0" applyFont="1" applyAlignment="1">
      <alignment horizontal="left"/>
    </xf>
    <xf numFmtId="0" fontId="11" fillId="0" borderId="0" xfId="0" applyFont="1" applyAlignment="1">
      <alignment horizontal="right"/>
    </xf>
    <xf numFmtId="0" fontId="9" fillId="0" borderId="0" xfId="5" applyFont="1" applyFill="1"/>
    <xf numFmtId="167" fontId="9" fillId="0" borderId="0" xfId="5" applyNumberFormat="1" applyFont="1" applyFill="1" applyAlignment="1">
      <alignment horizontal="right"/>
    </xf>
    <xf numFmtId="165" fontId="8" fillId="0" borderId="0" xfId="0" applyNumberFormat="1" applyFont="1"/>
    <xf numFmtId="0" fontId="9" fillId="0" borderId="0" xfId="9" applyFont="1" applyFill="1"/>
    <xf numFmtId="167" fontId="9" fillId="0" borderId="0" xfId="9" applyNumberFormat="1" applyFont="1" applyFill="1" applyAlignment="1">
      <alignment horizontal="right"/>
    </xf>
    <xf numFmtId="0" fontId="9" fillId="0" borderId="0" xfId="10" applyFont="1" applyFill="1"/>
    <xf numFmtId="167" fontId="9" fillId="0" borderId="0" xfId="10" applyNumberFormat="1" applyFont="1" applyFill="1" applyAlignment="1">
      <alignment horizontal="right"/>
    </xf>
    <xf numFmtId="0" fontId="9" fillId="0" borderId="0" xfId="7" applyFont="1" applyFill="1"/>
    <xf numFmtId="166" fontId="9" fillId="0" borderId="0" xfId="7" applyNumberFormat="1" applyFont="1" applyFill="1"/>
    <xf numFmtId="167" fontId="9" fillId="0" borderId="0" xfId="7" applyNumberFormat="1" applyFont="1" applyFill="1" applyAlignment="1">
      <alignment horizontal="right"/>
    </xf>
    <xf numFmtId="0" fontId="18" fillId="0" borderId="0" xfId="0" applyFont="1"/>
    <xf numFmtId="166" fontId="11" fillId="0" borderId="0" xfId="10" applyNumberFormat="1" applyFont="1" applyFill="1"/>
    <xf numFmtId="165" fontId="11" fillId="0" borderId="0" xfId="10" applyNumberFormat="1" applyFont="1" applyFill="1"/>
    <xf numFmtId="0" fontId="9" fillId="0" borderId="0" xfId="6" applyFont="1" applyFill="1"/>
    <xf numFmtId="167" fontId="9" fillId="0" borderId="0" xfId="6" applyNumberFormat="1" applyFont="1" applyFill="1" applyAlignment="1">
      <alignment horizontal="right"/>
    </xf>
    <xf numFmtId="167" fontId="9" fillId="0" borderId="0" xfId="0" applyNumberFormat="1" applyFont="1" applyAlignment="1">
      <alignment horizontal="right"/>
    </xf>
    <xf numFmtId="167" fontId="19" fillId="0" borderId="0" xfId="5" applyNumberFormat="1" applyFont="1" applyFill="1"/>
    <xf numFmtId="0" fontId="9" fillId="0" borderId="0" xfId="0" applyFont="1" applyAlignment="1">
      <alignment horizontal="left" vertical="center" wrapText="1"/>
    </xf>
    <xf numFmtId="0" fontId="9" fillId="0" borderId="2" xfId="8" applyFont="1" applyFill="1" applyBorder="1"/>
    <xf numFmtId="167" fontId="9" fillId="0" borderId="0" xfId="8" applyNumberFormat="1" applyFont="1" applyFill="1"/>
    <xf numFmtId="0" fontId="9" fillId="0" borderId="2" xfId="0" applyFont="1" applyBorder="1"/>
    <xf numFmtId="0" fontId="9" fillId="0" borderId="2" xfId="7" applyFont="1" applyFill="1" applyBorder="1"/>
    <xf numFmtId="167" fontId="9" fillId="0" borderId="0" xfId="7" applyNumberFormat="1" applyFont="1" applyFill="1"/>
    <xf numFmtId="165" fontId="9" fillId="0" borderId="0" xfId="0" applyNumberFormat="1" applyFont="1"/>
    <xf numFmtId="167" fontId="9" fillId="0" borderId="0" xfId="3" applyNumberFormat="1" applyFont="1" applyFill="1" applyBorder="1"/>
    <xf numFmtId="165" fontId="9" fillId="0" borderId="0" xfId="2" applyNumberFormat="1" applyFont="1"/>
    <xf numFmtId="165" fontId="9" fillId="0" borderId="0" xfId="7" applyNumberFormat="1" applyFont="1" applyFill="1" applyAlignment="1">
      <alignment horizontal="right"/>
    </xf>
    <xf numFmtId="165" fontId="9" fillId="0" borderId="0" xfId="8" applyNumberFormat="1" applyFont="1" applyFill="1"/>
    <xf numFmtId="165" fontId="9" fillId="0" borderId="0" xfId="8" applyNumberFormat="1" applyFont="1" applyFill="1" applyAlignment="1">
      <alignment horizontal="right"/>
    </xf>
    <xf numFmtId="167" fontId="9" fillId="0" borderId="0" xfId="2" applyNumberFormat="1" applyFont="1" applyAlignment="1">
      <alignment horizontal="right"/>
    </xf>
    <xf numFmtId="167" fontId="9" fillId="0" borderId="0" xfId="3" applyNumberFormat="1" applyFont="1" applyFill="1" applyBorder="1" applyAlignment="1">
      <alignment horizontal="right"/>
    </xf>
    <xf numFmtId="165" fontId="9" fillId="0" borderId="0" xfId="2" applyNumberFormat="1" applyFont="1" applyAlignment="1">
      <alignment horizontal="right"/>
    </xf>
    <xf numFmtId="167" fontId="19" fillId="0" borderId="0" xfId="4" applyNumberFormat="1" applyFont="1" applyFill="1"/>
    <xf numFmtId="0" fontId="19" fillId="0" borderId="0" xfId="0" applyFont="1"/>
    <xf numFmtId="0" fontId="17" fillId="0" borderId="0" xfId="0" applyFont="1" applyAlignment="1">
      <alignment vertical="center" wrapText="1"/>
    </xf>
    <xf numFmtId="169" fontId="9" fillId="0" borderId="0" xfId="1" applyNumberFormat="1" applyFont="1" applyFill="1"/>
    <xf numFmtId="167" fontId="19" fillId="0" borderId="0" xfId="0" applyNumberFormat="1" applyFont="1"/>
    <xf numFmtId="169" fontId="9" fillId="0" borderId="0" xfId="1" applyNumberFormat="1" applyFont="1"/>
    <xf numFmtId="0" fontId="0" fillId="11" borderId="0" xfId="0" applyFill="1" applyAlignment="1">
      <alignment horizontal="left"/>
    </xf>
    <xf numFmtId="3" fontId="8" fillId="0" borderId="0" xfId="0" applyNumberFormat="1" applyFont="1"/>
    <xf numFmtId="6" fontId="8" fillId="0" borderId="2" xfId="0" applyNumberFormat="1" applyFont="1" applyBorder="1" applyAlignment="1">
      <alignment horizontal="left"/>
    </xf>
    <xf numFmtId="0" fontId="8" fillId="0" borderId="2" xfId="0" applyFont="1" applyBorder="1" applyAlignment="1">
      <alignment vertical="center"/>
    </xf>
    <xf numFmtId="0" fontId="6" fillId="0" borderId="2" xfId="0" applyFont="1" applyBorder="1"/>
    <xf numFmtId="0" fontId="11" fillId="0" borderId="16" xfId="0" applyFont="1" applyBorder="1"/>
    <xf numFmtId="0" fontId="8" fillId="0" borderId="13" xfId="0" applyFont="1" applyBorder="1"/>
    <xf numFmtId="166" fontId="8" fillId="0" borderId="14" xfId="0" applyNumberFormat="1" applyFont="1" applyBorder="1" applyAlignment="1">
      <alignment horizontal="right"/>
    </xf>
    <xf numFmtId="0" fontId="11" fillId="0" borderId="15" xfId="0" applyFont="1" applyBorder="1" applyAlignment="1">
      <alignment horizontal="left"/>
    </xf>
    <xf numFmtId="0" fontId="11" fillId="0" borderId="16" xfId="0" applyFont="1" applyBorder="1" applyAlignment="1">
      <alignment horizontal="left"/>
    </xf>
    <xf numFmtId="0" fontId="11" fillId="0" borderId="17" xfId="0" applyFont="1" applyBorder="1" applyAlignment="1">
      <alignment horizontal="left"/>
    </xf>
    <xf numFmtId="3" fontId="8" fillId="0" borderId="0" xfId="0" applyNumberFormat="1" applyFont="1" applyAlignment="1">
      <alignment horizontal="right"/>
    </xf>
    <xf numFmtId="3" fontId="11" fillId="0" borderId="16" xfId="0" applyNumberFormat="1" applyFont="1" applyBorder="1" applyAlignment="1">
      <alignment horizontal="right"/>
    </xf>
    <xf numFmtId="6" fontId="8" fillId="0" borderId="2" xfId="0" applyNumberFormat="1" applyFont="1" applyBorder="1"/>
    <xf numFmtId="3" fontId="6" fillId="0" borderId="3" xfId="0" applyNumberFormat="1" applyFont="1" applyBorder="1" applyAlignment="1">
      <alignment horizontal="right"/>
    </xf>
    <xf numFmtId="3" fontId="3" fillId="0" borderId="17" xfId="0" applyNumberFormat="1" applyFont="1" applyBorder="1" applyAlignment="1">
      <alignment horizontal="right"/>
    </xf>
    <xf numFmtId="0" fontId="6" fillId="0" borderId="2" xfId="0" applyFont="1" applyBorder="1" applyAlignment="1">
      <alignment horizontal="left"/>
    </xf>
    <xf numFmtId="3" fontId="3" fillId="0" borderId="16" xfId="0" applyNumberFormat="1" applyFont="1" applyBorder="1" applyAlignment="1">
      <alignment horizontal="right"/>
    </xf>
    <xf numFmtId="0" fontId="3" fillId="0" borderId="16" xfId="0" applyFont="1" applyBorder="1" applyAlignment="1">
      <alignment horizontal="left"/>
    </xf>
    <xf numFmtId="0" fontId="3" fillId="0" borderId="16" xfId="0" applyFont="1" applyBorder="1" applyAlignment="1">
      <alignment horizontal="left" wrapText="1"/>
    </xf>
    <xf numFmtId="0" fontId="3" fillId="0" borderId="17" xfId="0" applyFont="1" applyBorder="1" applyAlignment="1">
      <alignment horizontal="left" wrapText="1"/>
    </xf>
    <xf numFmtId="0" fontId="6" fillId="0" borderId="13" xfId="0" applyFont="1" applyBorder="1" applyAlignment="1">
      <alignment horizontal="left" wrapText="1"/>
    </xf>
    <xf numFmtId="3" fontId="8" fillId="0" borderId="14" xfId="0" applyNumberFormat="1" applyFont="1" applyBorder="1" applyAlignment="1">
      <alignment horizontal="right"/>
    </xf>
    <xf numFmtId="3" fontId="3" fillId="0" borderId="17" xfId="0" applyNumberFormat="1" applyFont="1" applyBorder="1"/>
    <xf numFmtId="164" fontId="3" fillId="0" borderId="16" xfId="0" applyNumberFormat="1" applyFont="1" applyBorder="1" applyAlignment="1">
      <alignment horizontal="right"/>
    </xf>
    <xf numFmtId="0" fontId="9" fillId="0" borderId="0" xfId="0" applyFont="1" applyAlignment="1">
      <alignment wrapText="1"/>
    </xf>
    <xf numFmtId="0" fontId="8" fillId="0" borderId="13" xfId="0" applyFont="1" applyBorder="1" applyAlignment="1">
      <alignment horizontal="left" wrapText="1"/>
    </xf>
    <xf numFmtId="3" fontId="11" fillId="0" borderId="0" xfId="0" applyNumberFormat="1" applyFont="1" applyAlignment="1">
      <alignment horizontal="center"/>
    </xf>
    <xf numFmtId="9" fontId="11" fillId="0" borderId="0" xfId="0" applyNumberFormat="1" applyFont="1"/>
    <xf numFmtId="164" fontId="11" fillId="0" borderId="0" xfId="0" applyNumberFormat="1" applyFont="1" applyAlignment="1">
      <alignment horizontal="center"/>
    </xf>
    <xf numFmtId="169" fontId="9" fillId="0" borderId="0" xfId="0" applyNumberFormat="1" applyFont="1"/>
    <xf numFmtId="3" fontId="8" fillId="0" borderId="0" xfId="0" applyNumberFormat="1" applyFont="1" applyAlignment="1">
      <alignment horizontal="center"/>
    </xf>
    <xf numFmtId="9" fontId="8" fillId="0" borderId="0" xfId="0" applyNumberFormat="1" applyFont="1" applyAlignment="1">
      <alignment horizontal="right"/>
    </xf>
    <xf numFmtId="164" fontId="11" fillId="0" borderId="0" xfId="0" applyNumberFormat="1" applyFont="1" applyAlignment="1">
      <alignment horizontal="right"/>
    </xf>
    <xf numFmtId="3" fontId="11" fillId="0" borderId="16" xfId="0" applyNumberFormat="1" applyFont="1" applyBorder="1" applyAlignment="1">
      <alignment horizontal="center"/>
    </xf>
    <xf numFmtId="164" fontId="11" fillId="0" borderId="16" xfId="0" applyNumberFormat="1" applyFont="1" applyBorder="1" applyAlignment="1">
      <alignment horizontal="right"/>
    </xf>
    <xf numFmtId="9" fontId="8" fillId="0" borderId="0" xfId="0" applyNumberFormat="1" applyFont="1"/>
    <xf numFmtId="166" fontId="8" fillId="0" borderId="0" xfId="0" applyNumberFormat="1" applyFont="1"/>
    <xf numFmtId="3" fontId="8" fillId="0" borderId="16" xfId="0" applyNumberFormat="1" applyFont="1" applyBorder="1" applyAlignment="1">
      <alignment horizontal="right"/>
    </xf>
    <xf numFmtId="0" fontId="8" fillId="0" borderId="15" xfId="0" applyFont="1" applyBorder="1" applyAlignment="1">
      <alignment horizontal="left" wrapText="1"/>
    </xf>
    <xf numFmtId="0" fontId="20" fillId="0" borderId="0" xfId="0" applyFont="1" applyAlignment="1">
      <alignment vertical="top" wrapText="1"/>
    </xf>
    <xf numFmtId="0" fontId="6" fillId="0" borderId="13" xfId="0" applyFont="1" applyBorder="1" applyAlignment="1">
      <alignment horizontal="right"/>
    </xf>
    <xf numFmtId="0" fontId="6" fillId="0" borderId="14" xfId="0" applyFont="1" applyBorder="1" applyAlignment="1">
      <alignment horizontal="right"/>
    </xf>
    <xf numFmtId="0" fontId="9" fillId="0" borderId="0" xfId="0" applyFont="1" applyAlignment="1">
      <alignment horizontal="left"/>
    </xf>
    <xf numFmtId="0" fontId="20" fillId="11" borderId="0" xfId="0" applyFont="1" applyFill="1"/>
    <xf numFmtId="0" fontId="12" fillId="0" borderId="0" xfId="0" applyFont="1" applyAlignment="1">
      <alignment vertical="top" wrapText="1"/>
    </xf>
    <xf numFmtId="9" fontId="8" fillId="0" borderId="3" xfId="2" applyFont="1" applyBorder="1" applyAlignment="1">
      <alignment horizontal="right"/>
    </xf>
    <xf numFmtId="9" fontId="11" fillId="0" borderId="17" xfId="2" applyFont="1" applyBorder="1" applyAlignment="1">
      <alignment horizontal="right"/>
    </xf>
    <xf numFmtId="9" fontId="8" fillId="0" borderId="3" xfId="2" applyFont="1" applyBorder="1"/>
    <xf numFmtId="9" fontId="11" fillId="0" borderId="17" xfId="2" applyFont="1" applyBorder="1"/>
    <xf numFmtId="9" fontId="11" fillId="0" borderId="16" xfId="2" applyFont="1" applyBorder="1" applyAlignment="1">
      <alignment horizontal="right"/>
    </xf>
    <xf numFmtId="9" fontId="6" fillId="0" borderId="0" xfId="2" applyFont="1" applyAlignment="1">
      <alignment horizontal="right"/>
    </xf>
    <xf numFmtId="9" fontId="3" fillId="0" borderId="16" xfId="2" applyFont="1" applyBorder="1" applyAlignment="1">
      <alignment horizontal="right"/>
    </xf>
    <xf numFmtId="9" fontId="6" fillId="0" borderId="3" xfId="2" applyFont="1" applyBorder="1" applyAlignment="1">
      <alignment horizontal="right"/>
    </xf>
    <xf numFmtId="9" fontId="3" fillId="0" borderId="17" xfId="2" applyFont="1" applyBorder="1" applyAlignment="1">
      <alignment horizontal="right"/>
    </xf>
    <xf numFmtId="9" fontId="8" fillId="0" borderId="0" xfId="2" applyFont="1" applyAlignment="1">
      <alignment horizontal="right"/>
    </xf>
    <xf numFmtId="9" fontId="11" fillId="0" borderId="16" xfId="2" applyFont="1" applyBorder="1"/>
    <xf numFmtId="0" fontId="3" fillId="0" borderId="15" xfId="0" applyFont="1" applyBorder="1" applyAlignment="1">
      <alignment horizontal="left" wrapText="1"/>
    </xf>
    <xf numFmtId="0" fontId="6" fillId="0" borderId="4" xfId="0" applyFont="1" applyBorder="1" applyAlignment="1">
      <alignment horizontal="left"/>
    </xf>
    <xf numFmtId="0" fontId="6" fillId="0" borderId="14" xfId="0" applyFont="1" applyBorder="1" applyAlignment="1">
      <alignment horizontal="left"/>
    </xf>
    <xf numFmtId="0" fontId="6" fillId="0" borderId="13" xfId="0" applyFont="1" applyBorder="1" applyAlignment="1">
      <alignment horizontal="left"/>
    </xf>
    <xf numFmtId="0" fontId="6" fillId="0" borderId="3" xfId="0" applyFont="1" applyBorder="1" applyAlignment="1">
      <alignment horizontal="left"/>
    </xf>
    <xf numFmtId="0" fontId="6" fillId="0" borderId="0" xfId="0" applyFont="1" applyAlignment="1">
      <alignment horizontal="left"/>
    </xf>
    <xf numFmtId="0" fontId="6" fillId="0" borderId="0" xfId="7" applyNumberFormat="1" applyFont="1" applyFill="1" applyBorder="1" applyAlignment="1">
      <alignment horizontal="left"/>
    </xf>
    <xf numFmtId="0" fontId="6" fillId="0" borderId="3" xfId="18" applyFont="1" applyFill="1" applyBorder="1" applyAlignment="1">
      <alignment horizontal="left"/>
    </xf>
    <xf numFmtId="0" fontId="6" fillId="0" borderId="0" xfId="7" applyFont="1" applyFill="1" applyBorder="1" applyAlignment="1">
      <alignment horizontal="left"/>
    </xf>
    <xf numFmtId="0" fontId="6" fillId="0" borderId="0" xfId="18" applyFont="1" applyFill="1" applyBorder="1" applyAlignment="1">
      <alignment horizontal="left"/>
    </xf>
    <xf numFmtId="0" fontId="6" fillId="0" borderId="0" xfId="9" applyFont="1" applyFill="1" applyBorder="1" applyAlignment="1">
      <alignment horizontal="left"/>
    </xf>
    <xf numFmtId="0" fontId="6" fillId="0" borderId="0" xfId="9" applyNumberFormat="1" applyFont="1" applyFill="1" applyBorder="1" applyAlignment="1">
      <alignment horizontal="left"/>
    </xf>
    <xf numFmtId="9" fontId="8" fillId="0" borderId="4" xfId="2" applyFont="1" applyBorder="1"/>
    <xf numFmtId="0" fontId="21" fillId="0" borderId="0" xfId="0" applyFont="1"/>
    <xf numFmtId="0" fontId="6" fillId="0" borderId="0" xfId="0" applyFont="1" applyAlignment="1">
      <alignment vertical="center"/>
    </xf>
    <xf numFmtId="49" fontId="22" fillId="0" borderId="0" xfId="0" applyNumberFormat="1" applyFont="1" applyAlignment="1">
      <alignment horizontal="left"/>
    </xf>
    <xf numFmtId="0" fontId="21" fillId="0" borderId="0" xfId="0" applyFont="1" applyAlignment="1">
      <alignment vertical="center"/>
    </xf>
    <xf numFmtId="0" fontId="23" fillId="0" borderId="0" xfId="0" applyFont="1"/>
    <xf numFmtId="0" fontId="24" fillId="0" borderId="0" xfId="0" applyFont="1" applyAlignment="1">
      <alignment horizontal="left"/>
    </xf>
    <xf numFmtId="0" fontId="25" fillId="0" borderId="0" xfId="0" applyFont="1" applyAlignment="1">
      <alignment horizontal="left"/>
    </xf>
    <xf numFmtId="0" fontId="25" fillId="0" borderId="0" xfId="0" applyFont="1"/>
    <xf numFmtId="0" fontId="26" fillId="0" borderId="0" xfId="0" applyFont="1" applyAlignment="1">
      <alignment horizontal="center"/>
    </xf>
    <xf numFmtId="0" fontId="12" fillId="11" borderId="0" xfId="16" applyFill="1" applyAlignment="1">
      <alignment vertical="center" wrapText="1"/>
    </xf>
    <xf numFmtId="0" fontId="11" fillId="0" borderId="15" xfId="0" applyFont="1" applyBorder="1" applyAlignment="1">
      <alignment horizontal="left" wrapText="1"/>
    </xf>
    <xf numFmtId="0" fontId="3" fillId="0" borderId="15" xfId="0" applyFont="1" applyBorder="1" applyAlignment="1">
      <alignment wrapText="1"/>
    </xf>
    <xf numFmtId="0" fontId="6" fillId="0" borderId="2" xfId="0" applyFont="1" applyBorder="1" applyAlignment="1">
      <alignment wrapText="1"/>
    </xf>
    <xf numFmtId="0" fontId="11" fillId="0" borderId="17" xfId="0" applyFont="1" applyBorder="1"/>
    <xf numFmtId="9" fontId="8" fillId="0" borderId="3" xfId="2" applyFont="1" applyFill="1" applyBorder="1" applyAlignment="1">
      <alignment horizontal="right"/>
    </xf>
    <xf numFmtId="9" fontId="11" fillId="0" borderId="17" xfId="2" applyFont="1" applyFill="1" applyBorder="1" applyAlignment="1">
      <alignment horizontal="right"/>
    </xf>
    <xf numFmtId="9" fontId="8" fillId="0" borderId="0" xfId="2" applyFont="1" applyFill="1" applyBorder="1" applyAlignment="1">
      <alignment horizontal="center"/>
    </xf>
    <xf numFmtId="166" fontId="8" fillId="0" borderId="0" xfId="1" applyNumberFormat="1" applyFont="1" applyFill="1" applyBorder="1" applyAlignment="1">
      <alignment horizontal="center"/>
    </xf>
    <xf numFmtId="9" fontId="8" fillId="0" borderId="3" xfId="2" applyFont="1" applyFill="1" applyBorder="1" applyAlignment="1">
      <alignment horizontal="center"/>
    </xf>
    <xf numFmtId="9" fontId="11" fillId="0" borderId="16" xfId="2" applyFont="1" applyFill="1" applyBorder="1" applyAlignment="1">
      <alignment horizontal="center"/>
    </xf>
    <xf numFmtId="166" fontId="11" fillId="0" borderId="16" xfId="1" applyNumberFormat="1" applyFont="1" applyFill="1" applyBorder="1" applyAlignment="1">
      <alignment horizontal="center"/>
    </xf>
    <xf numFmtId="9" fontId="11" fillId="0" borderId="17" xfId="2" applyFont="1" applyFill="1" applyBorder="1" applyAlignment="1">
      <alignment horizontal="center"/>
    </xf>
    <xf numFmtId="166" fontId="6" fillId="0" borderId="0" xfId="1" applyNumberFormat="1" applyFont="1" applyFill="1" applyBorder="1" applyAlignment="1">
      <alignment horizontal="right"/>
    </xf>
    <xf numFmtId="9" fontId="6" fillId="0" borderId="3" xfId="2" applyFont="1" applyFill="1" applyBorder="1" applyAlignment="1">
      <alignment horizontal="right"/>
    </xf>
    <xf numFmtId="166" fontId="3" fillId="0" borderId="16" xfId="1" applyNumberFormat="1" applyFont="1" applyFill="1" applyBorder="1" applyAlignment="1">
      <alignment horizontal="right"/>
    </xf>
    <xf numFmtId="9" fontId="3" fillId="0" borderId="17" xfId="2" applyFont="1" applyFill="1" applyBorder="1" applyAlignment="1">
      <alignment horizontal="right"/>
    </xf>
    <xf numFmtId="9" fontId="6" fillId="0" borderId="0" xfId="2" applyFont="1" applyFill="1" applyAlignment="1">
      <alignment horizontal="right"/>
    </xf>
    <xf numFmtId="9" fontId="3" fillId="0" borderId="16" xfId="2" applyFont="1" applyFill="1" applyBorder="1" applyAlignment="1">
      <alignment horizontal="right"/>
    </xf>
    <xf numFmtId="3" fontId="8" fillId="0" borderId="14" xfId="0" applyNumberFormat="1" applyFont="1" applyBorder="1" applyAlignment="1">
      <alignment horizontal="right" wrapText="1"/>
    </xf>
    <xf numFmtId="9" fontId="8" fillId="0" borderId="14" xfId="2" applyFont="1" applyFill="1" applyBorder="1" applyAlignment="1">
      <alignment horizontal="right"/>
    </xf>
    <xf numFmtId="168" fontId="8" fillId="0" borderId="4" xfId="0" applyNumberFormat="1" applyFont="1" applyBorder="1" applyAlignment="1">
      <alignment horizontal="right"/>
    </xf>
    <xf numFmtId="3" fontId="8" fillId="0" borderId="16" xfId="0" applyNumberFormat="1" applyFont="1" applyBorder="1" applyAlignment="1">
      <alignment horizontal="right" wrapText="1"/>
    </xf>
    <xf numFmtId="9" fontId="8" fillId="0" borderId="16" xfId="2" applyFont="1" applyFill="1" applyBorder="1" applyAlignment="1">
      <alignment horizontal="right"/>
    </xf>
    <xf numFmtId="168" fontId="8" fillId="0" borderId="17" xfId="0" applyNumberFormat="1" applyFont="1" applyBorder="1" applyAlignment="1">
      <alignment horizontal="right"/>
    </xf>
    <xf numFmtId="9" fontId="3" fillId="0" borderId="17" xfId="0" applyNumberFormat="1" applyFont="1" applyBorder="1" applyAlignment="1">
      <alignment horizontal="right"/>
    </xf>
    <xf numFmtId="9" fontId="6" fillId="0" borderId="3" xfId="2" applyFont="1" applyFill="1" applyBorder="1"/>
    <xf numFmtId="9" fontId="3" fillId="0" borderId="17" xfId="2" applyFont="1" applyFill="1" applyBorder="1"/>
    <xf numFmtId="9" fontId="6" fillId="0" borderId="4" xfId="2" applyFont="1" applyFill="1" applyBorder="1" applyAlignment="1">
      <alignment horizontal="right"/>
    </xf>
    <xf numFmtId="9" fontId="8" fillId="0" borderId="3" xfId="2" applyFont="1" applyFill="1" applyBorder="1"/>
    <xf numFmtId="9" fontId="11" fillId="0" borderId="17" xfId="2" applyFont="1" applyFill="1" applyBorder="1"/>
    <xf numFmtId="3" fontId="6" fillId="0" borderId="14" xfId="0" applyNumberFormat="1" applyFont="1" applyBorder="1" applyAlignment="1">
      <alignment horizontal="right"/>
    </xf>
    <xf numFmtId="10" fontId="8" fillId="0" borderId="4" xfId="2" applyNumberFormat="1" applyFont="1" applyFill="1" applyBorder="1" applyAlignment="1">
      <alignment horizontal="right"/>
    </xf>
    <xf numFmtId="165" fontId="6" fillId="0" borderId="3" xfId="2" applyNumberFormat="1" applyFont="1" applyFill="1" applyBorder="1" applyAlignment="1">
      <alignment horizontal="right"/>
    </xf>
    <xf numFmtId="0" fontId="20" fillId="0" borderId="0" xfId="0" applyFont="1" applyAlignment="1">
      <alignment horizontal="left" vertical="top" wrapText="1"/>
    </xf>
    <xf numFmtId="0" fontId="12" fillId="0" borderId="0" xfId="0" applyFont="1" applyAlignment="1">
      <alignment horizontal="left" vertical="top" wrapText="1"/>
    </xf>
    <xf numFmtId="0" fontId="3" fillId="0" borderId="0" xfId="0" applyFont="1" applyAlignment="1">
      <alignment horizontal="center"/>
    </xf>
    <xf numFmtId="0" fontId="11" fillId="0" borderId="0" xfId="0" applyFont="1" applyAlignment="1">
      <alignment horizontal="left"/>
    </xf>
    <xf numFmtId="0" fontId="11" fillId="0" borderId="0" xfId="0" applyFont="1" applyAlignment="1">
      <alignment horizontal="center"/>
    </xf>
  </cellXfs>
  <cellStyles count="19">
    <cellStyle name="20% - Accent1" xfId="4" builtinId="30"/>
    <cellStyle name="20% - Accent2" xfId="6" builtinId="34"/>
    <cellStyle name="20% - Accent3" xfId="7" builtinId="38"/>
    <cellStyle name="20% - Accent4" xfId="8" builtinId="42"/>
    <cellStyle name="20% - Accent6" xfId="10" builtinId="50"/>
    <cellStyle name="40% - Accent1" xfId="5" builtinId="31"/>
    <cellStyle name="40% - Accent3" xfId="18" builtinId="39"/>
    <cellStyle name="40% - Accent4" xfId="9" builtinId="43"/>
    <cellStyle name="40% - Accent5 2" xfId="11" xr:uid="{4DCBDC47-9059-4F4D-BD9F-5150546E72E9}"/>
    <cellStyle name="Comma" xfId="1" builtinId="3"/>
    <cellStyle name="Currency" xfId="12" builtinId="4"/>
    <cellStyle name="Hyperlink" xfId="17" builtinId="8"/>
    <cellStyle name="Normal" xfId="0" builtinId="0"/>
    <cellStyle name="Normal 19" xfId="14" xr:uid="{2946F817-D167-47EB-9467-E2BF920547D1}"/>
    <cellStyle name="Normal 2" xfId="16" xr:uid="{5AA5A0B4-4AC1-4133-A1A6-7314A645A296}"/>
    <cellStyle name="Normal 20" xfId="15" xr:uid="{1CA3D83C-A0B0-43A6-AA37-9F3B9A97C2C5}"/>
    <cellStyle name="Note" xfId="3" builtinId="10"/>
    <cellStyle name="Percent" xfId="2" builtinId="5"/>
    <cellStyle name="Percent 2" xfId="13" xr:uid="{FBE8B68A-CA04-4B0E-BCAC-4DA0AAA28A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31750</xdr:rowOff>
    </xdr:from>
    <xdr:ext cx="7862651" cy="748926"/>
    <xdr:pic>
      <xdr:nvPicPr>
        <xdr:cNvPr id="2" name="Picture 1">
          <a:extLst>
            <a:ext uri="{FF2B5EF4-FFF2-40B4-BE49-F238E27FC236}">
              <a16:creationId xmlns:a16="http://schemas.microsoft.com/office/drawing/2014/main" id="{D29CCE6B-CB8E-421F-BBE0-5A5270C454B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1750"/>
          <a:ext cx="7862651" cy="748926"/>
        </a:xfrm>
        <a:prstGeom prst="rect">
          <a:avLst/>
        </a:prstGeom>
      </xdr:spPr>
    </xdr:pic>
    <xdr:clientData/>
  </xdr:oneCellAnchor>
  <xdr:oneCellAnchor>
    <xdr:from>
      <xdr:col>0</xdr:col>
      <xdr:colOff>1661584</xdr:colOff>
      <xdr:row>29</xdr:row>
      <xdr:rowOff>10583</xdr:rowOff>
    </xdr:from>
    <xdr:ext cx="3735917" cy="1539871"/>
    <xdr:pic>
      <xdr:nvPicPr>
        <xdr:cNvPr id="3" name="Picture 2" descr="A blue circle with black background&#10;&#10;Description automatically generated">
          <a:extLst>
            <a:ext uri="{FF2B5EF4-FFF2-40B4-BE49-F238E27FC236}">
              <a16:creationId xmlns:a16="http://schemas.microsoft.com/office/drawing/2014/main" id="{912DE870-5AE0-498A-95AE-4A359370F9C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48621"/>
        <a:stretch/>
      </xdr:blipFill>
      <xdr:spPr bwMode="auto">
        <a:xfrm>
          <a:off x="613834" y="5535083"/>
          <a:ext cx="3735917" cy="1539871"/>
        </a:xfrm>
        <a:prstGeom prst="rect">
          <a:avLst/>
        </a:prstGeom>
        <a:ln>
          <a:noFill/>
        </a:ln>
        <a:extLst>
          <a:ext uri="{53640926-AAD7-44D8-BBD7-CCE9431645EC}">
            <a14:shadowObscured xmlns:a14="http://schemas.microsoft.com/office/drawing/2010/main"/>
          </a:ext>
        </a:extLst>
      </xdr:spPr>
    </xdr:pic>
    <xdr:clientData/>
  </xdr:oneCellAnchor>
  <xdr:oneCellAnchor>
    <xdr:from>
      <xdr:col>0</xdr:col>
      <xdr:colOff>4290060</xdr:colOff>
      <xdr:row>18</xdr:row>
      <xdr:rowOff>296334</xdr:rowOff>
    </xdr:from>
    <xdr:ext cx="3568279" cy="3496094"/>
    <xdr:pic>
      <xdr:nvPicPr>
        <xdr:cNvPr id="4" name="Picture 3" descr="A yellow and black circle&#10;&#10;Description automatically generated">
          <a:extLst>
            <a:ext uri="{FF2B5EF4-FFF2-40B4-BE49-F238E27FC236}">
              <a16:creationId xmlns:a16="http://schemas.microsoft.com/office/drawing/2014/main" id="{C1C8302B-2252-49C8-B970-DAC1B0A844C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3410" y="3620559"/>
          <a:ext cx="3568279" cy="34960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228600</xdr:colOff>
      <xdr:row>1</xdr:row>
      <xdr:rowOff>9524</xdr:rowOff>
    </xdr:from>
    <xdr:to>
      <xdr:col>3</xdr:col>
      <xdr:colOff>38100</xdr:colOff>
      <xdr:row>50</xdr:row>
      <xdr:rowOff>19050</xdr:rowOff>
    </xdr:to>
    <xdr:sp macro="" textlink="">
      <xdr:nvSpPr>
        <xdr:cNvPr id="2" name="TextBox 1">
          <a:extLst>
            <a:ext uri="{FF2B5EF4-FFF2-40B4-BE49-F238E27FC236}">
              <a16:creationId xmlns:a16="http://schemas.microsoft.com/office/drawing/2014/main" id="{EFDAB8D7-4710-4883-A747-0155CC886E2A}"/>
            </a:ext>
          </a:extLst>
        </xdr:cNvPr>
        <xdr:cNvSpPr txBox="1"/>
      </xdr:nvSpPr>
      <xdr:spPr>
        <a:xfrm>
          <a:off x="228600" y="314324"/>
          <a:ext cx="6686550" cy="9344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Arial" panose="020B0604020202020204" pitchFamily="34" charset="0"/>
              <a:ea typeface="+mn-ea"/>
              <a:cs typeface="Arial" panose="020B0604020202020204" pitchFamily="34" charset="0"/>
            </a:rPr>
            <a:t>Ces tableaux sont mise à jour annuellement et contient des informations sur l'activité d'investissement et la performance financière de l'Initiative de catalyse du capital de risque 2017 (ICCR de 2017). Les dernières données annuelles disponibles datent du 31 décembre 2024.</a:t>
          </a:r>
        </a:p>
        <a:p>
          <a:endParaRPr lang="en-US">
            <a:effectLst/>
            <a:latin typeface="Arial" panose="020B0604020202020204" pitchFamily="34" charset="0"/>
            <a:cs typeface="Arial" panose="020B0604020202020204" pitchFamily="34" charset="0"/>
          </a:endParaRPr>
        </a:p>
        <a:p>
          <a:r>
            <a:rPr lang="en-US" sz="1100" b="0" i="0">
              <a:solidFill>
                <a:schemeClr val="dk1"/>
              </a:solidFill>
              <a:effectLst/>
              <a:latin typeface="Arial" panose="020B0604020202020204" pitchFamily="34" charset="0"/>
              <a:ea typeface="+mn-ea"/>
              <a:cs typeface="Arial" panose="020B0604020202020204" pitchFamily="34" charset="0"/>
            </a:rPr>
            <a:t>Les indicateurs sont basés sur les rapports annuels des bénéficiaires de l'ICCR de 2017, et contient des informations obtenues sur la base d'efforts commercialement raisonnables de la part des fonds de capital de risque sous-jacents (des bénéficiaires de fonds de fonds) et des entreprises de portefeuille des fonds*. Ces données ne sont pas vérifiées et elles peuvent ne pas convenir pour des comparaisons d'une année à l'autre. De plus, certaines valeurs peuvent varier d'une année à l'autre en raison des fluctuations des taux de change.</a:t>
          </a:r>
        </a:p>
        <a:p>
          <a:endParaRPr lang="en-US">
            <a:effectLst/>
            <a:latin typeface="Arial" panose="020B0604020202020204" pitchFamily="34" charset="0"/>
            <a:cs typeface="Arial" panose="020B0604020202020204" pitchFamily="34" charset="0"/>
          </a:endParaRPr>
        </a:p>
        <a:p>
          <a:r>
            <a:rPr lang="en-US" sz="1400" b="1" i="0">
              <a:solidFill>
                <a:schemeClr val="dk1"/>
              </a:solidFill>
              <a:effectLst/>
              <a:latin typeface="Arial" panose="020B0604020202020204" pitchFamily="34" charset="0"/>
              <a:ea typeface="+mn-ea"/>
              <a:cs typeface="Arial" panose="020B0604020202020204" pitchFamily="34" charset="0"/>
            </a:rPr>
            <a:t>Fiche d'information</a:t>
          </a:r>
        </a:p>
        <a:p>
          <a:endParaRPr lang="en-US">
            <a:effectLst/>
            <a:latin typeface="Arial" panose="020B0604020202020204" pitchFamily="34" charset="0"/>
            <a:cs typeface="Arial" panose="020B0604020202020204" pitchFamily="34" charset="0"/>
          </a:endParaRPr>
        </a:p>
        <a:p>
          <a:r>
            <a:rPr lang="en-US" sz="1100" b="0" i="0">
              <a:solidFill>
                <a:schemeClr val="dk1"/>
              </a:solidFill>
              <a:effectLst/>
              <a:latin typeface="Arial" panose="020B0604020202020204" pitchFamily="34" charset="0"/>
              <a:ea typeface="+mn-ea"/>
              <a:cs typeface="Arial" panose="020B0604020202020204" pitchFamily="34" charset="0"/>
            </a:rPr>
            <a:t>Pour tirer parti des gains du Plan d'action pour le capital de risque (PACR), le gouvernement du Canada a annoncé en 2017 la création de l'ICCR de 2017. Comme avec le PACR, l'ICCR de 2017 a été mise en œuvre afin d'appuyer le développement du secteur canadien du capital de risque et à accroître le financement accessible aux entreprises canadiennes innovatrices.</a:t>
          </a:r>
          <a:endParaRPr lang="en-US">
            <a:effectLst/>
            <a:latin typeface="Arial" panose="020B0604020202020204" pitchFamily="34" charset="0"/>
            <a:cs typeface="Arial" panose="020B0604020202020204" pitchFamily="34" charset="0"/>
          </a:endParaRPr>
        </a:p>
        <a:p>
          <a:r>
            <a:rPr lang="en-US" sz="1100" b="0" i="0">
              <a:solidFill>
                <a:schemeClr val="dk1"/>
              </a:solidFill>
              <a:effectLst/>
              <a:latin typeface="Arial" panose="020B0604020202020204" pitchFamily="34" charset="0"/>
              <a:ea typeface="+mn-ea"/>
              <a:cs typeface="Arial" panose="020B0604020202020204" pitchFamily="34" charset="0"/>
            </a:rPr>
            <a:t>Par le biais de l'ICCR de 2017, le gouvernement a investi 371 millions de dollars à travers trois volets :</a:t>
          </a:r>
        </a:p>
        <a:p>
          <a:endParaRPr lang="en-US">
            <a:effectLst/>
            <a:latin typeface="Arial" panose="020B0604020202020204" pitchFamily="34" charset="0"/>
            <a:cs typeface="Arial" panose="020B0604020202020204" pitchFamily="34" charset="0"/>
          </a:endParaRPr>
        </a:p>
        <a:p>
          <a:pPr marL="171450" indent="-171450">
            <a:spcAft>
              <a:spcPts val="600"/>
            </a:spcAft>
            <a:buFont typeface="Arial" panose="020B0604020202020204" pitchFamily="34" charset="0"/>
            <a:buChar char="•"/>
          </a:pPr>
          <a:r>
            <a:rPr lang="en-US" sz="1100" b="1" i="0">
              <a:solidFill>
                <a:schemeClr val="dk1"/>
              </a:solidFill>
              <a:effectLst/>
              <a:latin typeface="Arial" panose="020B0604020202020204" pitchFamily="34" charset="0"/>
              <a:ea typeface="+mn-ea"/>
              <a:cs typeface="Arial" panose="020B0604020202020204" pitchFamily="34" charset="0"/>
            </a:rPr>
            <a:t>Volet 1 </a:t>
          </a:r>
          <a:r>
            <a:rPr lang="en-US" sz="1100" b="0" i="0">
              <a:solidFill>
                <a:schemeClr val="dk1"/>
              </a:solidFill>
              <a:effectLst/>
              <a:latin typeface="Arial" panose="020B0604020202020204" pitchFamily="34" charset="0"/>
              <a:ea typeface="+mn-ea"/>
              <a:cs typeface="Arial" panose="020B0604020202020204" pitchFamily="34" charset="0"/>
            </a:rPr>
            <a:t>a établi un portefeuille de quatre fonds de fonds à grandes envergure dirigés par le secteur privé (HarbourVest Partners, Kensington Capital Partners, Northleaf Capital Partners et Teralys Capital)</a:t>
          </a:r>
          <a:endParaRPr lang="en-US">
            <a:effectLst/>
            <a:latin typeface="Arial" panose="020B0604020202020204" pitchFamily="34" charset="0"/>
            <a:cs typeface="Arial" panose="020B0604020202020204" pitchFamily="34" charset="0"/>
          </a:endParaRPr>
        </a:p>
        <a:p>
          <a:pPr marL="171450" indent="-171450">
            <a:spcAft>
              <a:spcPts val="600"/>
            </a:spcAft>
            <a:buFont typeface="Arial" panose="020B0604020202020204" pitchFamily="34" charset="0"/>
            <a:buChar char="•"/>
          </a:pPr>
          <a:r>
            <a:rPr lang="en-US" sz="1100" b="1" i="0">
              <a:solidFill>
                <a:schemeClr val="dk1"/>
              </a:solidFill>
              <a:effectLst/>
              <a:latin typeface="Arial" panose="020B0604020202020204" pitchFamily="34" charset="0"/>
              <a:ea typeface="+mn-ea"/>
              <a:cs typeface="Arial" panose="020B0604020202020204" pitchFamily="34" charset="0"/>
            </a:rPr>
            <a:t>Volet 2 </a:t>
          </a:r>
          <a:r>
            <a:rPr lang="en-US" sz="1100" b="0" i="0">
              <a:solidFill>
                <a:schemeClr val="dk1"/>
              </a:solidFill>
              <a:effectLst/>
              <a:latin typeface="Arial" panose="020B0604020202020204" pitchFamily="34" charset="0"/>
              <a:ea typeface="+mn-ea"/>
              <a:cs typeface="Arial" panose="020B0604020202020204" pitchFamily="34" charset="0"/>
            </a:rPr>
            <a:t>a soutenu cinq gestionnaires de fonds avec diverses équipes de gestion de fonds, de nouveaux modèles, ou axées sur les régions émergentes (Brightspark, Build Ventures, Garage Capital, Highline Beta et TandemLaunch)</a:t>
          </a:r>
          <a:endParaRPr lang="en-US">
            <a:effectLst/>
            <a:latin typeface="Arial" panose="020B0604020202020204" pitchFamily="34" charset="0"/>
            <a:cs typeface="Arial" panose="020B0604020202020204" pitchFamily="34" charset="0"/>
          </a:endParaRPr>
        </a:p>
        <a:p>
          <a:pPr marL="171450" indent="-171450">
            <a:spcAft>
              <a:spcPts val="600"/>
            </a:spcAft>
            <a:buFont typeface="Arial" panose="020B0604020202020204" pitchFamily="34" charset="0"/>
            <a:buChar char="•"/>
          </a:pPr>
          <a:r>
            <a:rPr lang="en-US" sz="1100" b="1" i="0">
              <a:solidFill>
                <a:schemeClr val="dk1"/>
              </a:solidFill>
              <a:effectLst/>
              <a:latin typeface="Arial" panose="020B0604020202020204" pitchFamily="34" charset="0"/>
              <a:ea typeface="+mn-ea"/>
              <a:cs typeface="Arial" panose="020B0604020202020204" pitchFamily="34" charset="0"/>
            </a:rPr>
            <a:t>Volet 3 </a:t>
          </a:r>
          <a:r>
            <a:rPr lang="en-US" sz="1100" b="0" i="0">
              <a:solidFill>
                <a:schemeClr val="dk1"/>
              </a:solidFill>
              <a:effectLst/>
              <a:latin typeface="Arial" panose="020B0604020202020204" pitchFamily="34" charset="0"/>
              <a:ea typeface="+mn-ea"/>
              <a:cs typeface="Arial" panose="020B0604020202020204" pitchFamily="34" charset="0"/>
            </a:rPr>
            <a:t>a investi dans trois fonds de capital de risque avec des stratégies visant principalement le secteur des technologies propres (ArcTern Ventures, Cycle Capital et Renewal Funds)</a:t>
          </a:r>
        </a:p>
        <a:p>
          <a:endParaRPr lang="en-US">
            <a:effectLst/>
            <a:latin typeface="Arial" panose="020B0604020202020204" pitchFamily="34" charset="0"/>
            <a:cs typeface="Arial" panose="020B0604020202020204" pitchFamily="34" charset="0"/>
          </a:endParaRPr>
        </a:p>
        <a:p>
          <a:r>
            <a:rPr lang="en-US" sz="1100" b="0" i="0">
              <a:solidFill>
                <a:schemeClr val="dk1"/>
              </a:solidFill>
              <a:effectLst/>
              <a:latin typeface="Arial" panose="020B0604020202020204" pitchFamily="34" charset="0"/>
              <a:ea typeface="+mn-ea"/>
              <a:cs typeface="Arial" panose="020B0604020202020204" pitchFamily="34" charset="0"/>
            </a:rPr>
            <a:t>L'investissement du gouvernement du Canada de l'ICCR de 2017 a suscité d'importants investissements dans le secteur canadien du capital de risque. En particulier, les quatre fonds de fonds de l'ICCR de 2017 ont recueilli des investissements d'un ensemble diversifié d'investisseurs tels que des caisses de retraite, des particuliers fortunés, des entreprises, des banques et le gouvernement du Québec. En comptant l'investissement du gouvernement fédéral, les quatre fonds de fonds ont réuni 1,176 milliard de dollars. Sur le total recueilli, 840 millions de dollars proviennent d'investisseurs du secteur privé.</a:t>
          </a:r>
        </a:p>
        <a:p>
          <a:endParaRPr lang="en-US">
            <a:effectLst/>
            <a:latin typeface="Arial" panose="020B0604020202020204" pitchFamily="34" charset="0"/>
            <a:cs typeface="Arial" panose="020B0604020202020204" pitchFamily="34" charset="0"/>
          </a:endParaRPr>
        </a:p>
        <a:p>
          <a:r>
            <a:rPr lang="en-US" sz="1100" b="0" i="0">
              <a:solidFill>
                <a:schemeClr val="dk1"/>
              </a:solidFill>
              <a:effectLst/>
              <a:latin typeface="Arial" panose="020B0604020202020204" pitchFamily="34" charset="0"/>
              <a:ea typeface="+mn-ea"/>
              <a:cs typeface="Arial" panose="020B0604020202020204" pitchFamily="34" charset="0"/>
            </a:rPr>
            <a:t>Les gestionnaires de fonds bénéficiaires de l'ICCR de 2017 ont complété leurs activités de collecte de fonds, récoltant collectivement plus de 1,8 milliards de dollars auprès d'investisseurs publics et privés, augmentant ainsi la disponibilité des capitaux pour les entreprises prometteuses en stade de démarrage. Ils continuent d'investir dans des entreprises et des fonds de fonds de capital-risque, dans le cas des fonds de fonds.</a:t>
          </a:r>
        </a:p>
        <a:p>
          <a:endParaRPr lang="en-US">
            <a:effectLst/>
            <a:latin typeface="Arial" panose="020B0604020202020204" pitchFamily="34" charset="0"/>
            <a:cs typeface="Arial" panose="020B0604020202020204" pitchFamily="34" charset="0"/>
          </a:endParaRPr>
        </a:p>
        <a:p>
          <a:r>
            <a:rPr lang="en-US" sz="1100" b="0" i="0">
              <a:solidFill>
                <a:schemeClr val="dk1"/>
              </a:solidFill>
              <a:effectLst/>
              <a:latin typeface="Arial" panose="020B0604020202020204" pitchFamily="34" charset="0"/>
              <a:ea typeface="+mn-ea"/>
              <a:cs typeface="Arial" panose="020B0604020202020204" pitchFamily="34" charset="0"/>
            </a:rPr>
            <a:t>Au 31 décembre 2024, 47 fonds de capital-risque canadiens*ont </a:t>
          </a:r>
          <a:r>
            <a:rPr lang="en-US" sz="1100" b="0" i="0">
              <a:solidFill>
                <a:sysClr val="windowText" lastClr="000000"/>
              </a:solidFill>
              <a:effectLst/>
              <a:latin typeface="Arial" panose="020B0604020202020204" pitchFamily="34" charset="0"/>
              <a:ea typeface="+mn-ea"/>
              <a:cs typeface="Arial" panose="020B0604020202020204" pitchFamily="34" charset="0"/>
            </a:rPr>
            <a:t>reçu 914 millions de dollars </a:t>
          </a:r>
          <a:r>
            <a:rPr lang="en-US" sz="1100" b="0" i="0">
              <a:solidFill>
                <a:schemeClr val="dk1"/>
              </a:solidFill>
              <a:effectLst/>
              <a:latin typeface="Arial" panose="020B0604020202020204" pitchFamily="34" charset="0"/>
              <a:ea typeface="+mn-ea"/>
              <a:cs typeface="Arial" panose="020B0604020202020204" pitchFamily="34" charset="0"/>
            </a:rPr>
            <a:t>d'engagements d'investissement par l'ICCR de 2017. Les fonds de capital-risque qui ont reçu le soutien de l'ICCR de 2017 ont investi au total 2,9 milliard de dollars, toutes sources d'investissement confondues, dans au moins 446 entreprises canadiennes. **</a:t>
          </a:r>
        </a:p>
        <a:p>
          <a:endParaRPr lang="en-US">
            <a:effectLst/>
            <a:latin typeface="Arial" panose="020B0604020202020204" pitchFamily="34" charset="0"/>
            <a:cs typeface="Arial" panose="020B0604020202020204" pitchFamily="34" charset="0"/>
          </a:endParaRPr>
        </a:p>
        <a:p>
          <a:r>
            <a:rPr lang="en-US" sz="1100" b="1" i="0">
              <a:solidFill>
                <a:schemeClr val="dk1"/>
              </a:solidFill>
              <a:effectLst/>
              <a:latin typeface="Arial" panose="020B0604020202020204" pitchFamily="34" charset="0"/>
              <a:ea typeface="+mn-ea"/>
              <a:cs typeface="Arial" panose="020B0604020202020204" pitchFamily="34" charset="0"/>
            </a:rPr>
            <a:t>Notes de bas de page</a:t>
          </a:r>
        </a:p>
        <a:p>
          <a:endParaRPr lang="en-US">
            <a:effectLst/>
            <a:latin typeface="Arial" panose="020B0604020202020204" pitchFamily="34" charset="0"/>
            <a:cs typeface="Arial" panose="020B0604020202020204" pitchFamily="34" charset="0"/>
          </a:endParaRPr>
        </a:p>
        <a:p>
          <a:r>
            <a:rPr lang="en-CA" sz="1100">
              <a:solidFill>
                <a:schemeClr val="dk1"/>
              </a:solidFill>
              <a:effectLst/>
              <a:latin typeface="Arial" panose="020B0604020202020204" pitchFamily="34" charset="0"/>
              <a:ea typeface="+mn-ea"/>
              <a:cs typeface="Arial" panose="020B0604020202020204" pitchFamily="34" charset="0"/>
            </a:rPr>
            <a:t>* </a:t>
          </a:r>
          <a:r>
            <a:rPr lang="en-US" sz="1100" b="0" i="0">
              <a:solidFill>
                <a:schemeClr val="dk1"/>
              </a:solidFill>
              <a:effectLst/>
              <a:latin typeface="Arial" panose="020B0604020202020204" pitchFamily="34" charset="0"/>
              <a:ea typeface="+mn-ea"/>
              <a:cs typeface="Arial" panose="020B0604020202020204" pitchFamily="34" charset="0"/>
            </a:rPr>
            <a:t>Ceci inclut les fonds de capital de risque canadiens appuyés par les fonds de fonds dans le cadres du volet 1 et les fonds sélectionnés dans le cadres des volets 2 et 3.</a:t>
          </a:r>
          <a:endParaRPr lang="en-US">
            <a:effectLst/>
            <a:latin typeface="Arial" panose="020B0604020202020204" pitchFamily="34" charset="0"/>
            <a:cs typeface="Arial" panose="020B0604020202020204" pitchFamily="34" charset="0"/>
          </a:endParaRPr>
        </a:p>
        <a:p>
          <a:br>
            <a:rPr lang="en-US" sz="1100" b="0" i="0" u="sng">
              <a:solidFill>
                <a:schemeClr val="dk1"/>
              </a:solidFill>
              <a:effectLst/>
              <a:latin typeface="Arial" panose="020B0604020202020204" pitchFamily="34" charset="0"/>
              <a:ea typeface="+mn-ea"/>
              <a:cs typeface="Arial" panose="020B0604020202020204" pitchFamily="34" charset="0"/>
            </a:rPr>
          </a:br>
          <a:r>
            <a:rPr lang="en-CA" sz="1100" b="0" i="0">
              <a:solidFill>
                <a:schemeClr val="dk1"/>
              </a:solidFill>
              <a:effectLst/>
              <a:latin typeface="Arial" panose="020B0604020202020204" pitchFamily="34" charset="0"/>
              <a:ea typeface="+mn-ea"/>
              <a:cs typeface="Arial" panose="020B0604020202020204" pitchFamily="34" charset="0"/>
            </a:rPr>
            <a:t>**</a:t>
          </a:r>
          <a:r>
            <a:rPr lang="en-US" sz="1100" b="0" i="0">
              <a:solidFill>
                <a:schemeClr val="dk1"/>
              </a:solidFill>
              <a:effectLst/>
              <a:latin typeface="Arial" panose="020B0604020202020204" pitchFamily="34" charset="0"/>
              <a:ea typeface="+mn-ea"/>
              <a:cs typeface="Arial" panose="020B0604020202020204" pitchFamily="34" charset="0"/>
            </a:rPr>
            <a:t>Ce chiffre peut varier d'une année à l'autre car il est basé sur les rapports annuels des bénéficiaires, et contient des informations obtenues sur la base d'efforts commercialement raisonnables de la part des fonds de capital de risque sous-jacents (des bénéficiaires de fonds de fonds) et des entreprises de portefeuille des fonds. Ces données ne sont pas vérifiées et elles peuvent ne pas convenir pour des comparaisons d'une année à l'autre.</a:t>
          </a:r>
          <a:endParaRPr lang="en-US">
            <a:effectLst/>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714E9-A40E-4E69-B8E1-ABCA30D6C31B}">
  <dimension ref="A5:A28"/>
  <sheetViews>
    <sheetView showGridLines="0" tabSelected="1" zoomScale="85" zoomScaleNormal="85" zoomScaleSheetLayoutView="100" workbookViewId="0">
      <selection activeCell="F2" sqref="F2"/>
    </sheetView>
  </sheetViews>
  <sheetFormatPr defaultColWidth="9.140625" defaultRowHeight="14.25" x14ac:dyDescent="0.2"/>
  <cols>
    <col min="1" max="1" width="81.42578125" style="199" customWidth="1"/>
    <col min="2" max="16384" width="9.140625" style="199"/>
  </cols>
  <sheetData>
    <row r="5" spans="1:1" x14ac:dyDescent="0.2">
      <c r="A5" s="202"/>
    </row>
    <row r="9" spans="1:1" ht="30" x14ac:dyDescent="0.4">
      <c r="A9" s="206" t="s">
        <v>69</v>
      </c>
    </row>
    <row r="10" spans="1:1" ht="30" x14ac:dyDescent="0.4">
      <c r="A10" s="206" t="s">
        <v>68</v>
      </c>
    </row>
    <row r="11" spans="1:1" ht="30" x14ac:dyDescent="0.4">
      <c r="A11" s="205" t="s">
        <v>190</v>
      </c>
    </row>
    <row r="12" spans="1:1" ht="27.75" x14ac:dyDescent="0.4">
      <c r="A12" s="204"/>
    </row>
    <row r="14" spans="1:1" ht="23.25" x14ac:dyDescent="0.35">
      <c r="A14" s="203" t="s">
        <v>67</v>
      </c>
    </row>
    <row r="15" spans="1:1" x14ac:dyDescent="0.2">
      <c r="A15" s="202"/>
    </row>
    <row r="19" spans="1:1" ht="27.75" x14ac:dyDescent="0.4">
      <c r="A19" s="201" t="s">
        <v>223</v>
      </c>
    </row>
    <row r="20" spans="1:1" ht="15" x14ac:dyDescent="0.2">
      <c r="A20" s="4" t="s">
        <v>222</v>
      </c>
    </row>
    <row r="21" spans="1:1" ht="15.75" customHeight="1" x14ac:dyDescent="0.2">
      <c r="A21" s="4"/>
    </row>
    <row r="23" spans="1:1" ht="15" x14ac:dyDescent="0.2">
      <c r="A23" s="200" t="s">
        <v>66</v>
      </c>
    </row>
    <row r="24" spans="1:1" ht="15" x14ac:dyDescent="0.2">
      <c r="A24" s="200" t="s">
        <v>65</v>
      </c>
    </row>
    <row r="25" spans="1:1" ht="15" x14ac:dyDescent="0.2">
      <c r="A25" s="200" t="s">
        <v>64</v>
      </c>
    </row>
    <row r="26" spans="1:1" ht="15" x14ac:dyDescent="0.2">
      <c r="A26" s="200"/>
    </row>
    <row r="27" spans="1:1" ht="15" x14ac:dyDescent="0.2">
      <c r="A27" s="200" t="s">
        <v>63</v>
      </c>
    </row>
    <row r="28" spans="1:1" ht="15" x14ac:dyDescent="0.2">
      <c r="A28" s="200" t="s">
        <v>70</v>
      </c>
    </row>
  </sheetData>
  <pageMargins left="0.70866141732283472" right="0" top="0" bottom="0" header="0.31496062992125984" footer="0"/>
  <pageSetup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5E331-E011-4CA0-9277-5C364BCBC654}">
  <sheetPr codeName="Sheet21"/>
  <dimension ref="A1:C1"/>
  <sheetViews>
    <sheetView workbookViewId="0">
      <selection activeCell="L18" sqref="L18"/>
    </sheetView>
  </sheetViews>
  <sheetFormatPr defaultRowHeight="15" x14ac:dyDescent="0.25"/>
  <cols>
    <col min="1" max="1" width="38.85546875" customWidth="1"/>
    <col min="2" max="3" width="32.140625" customWidth="1"/>
  </cols>
  <sheetData>
    <row r="1" spans="1:3" ht="24" customHeight="1" x14ac:dyDescent="0.3">
      <c r="A1" s="37"/>
      <c r="B1" s="207" t="s">
        <v>191</v>
      </c>
      <c r="C1" s="3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1C8D9-4789-456C-B0AB-45D67B09ABBC}">
  <sheetPr codeName="Sheet22"/>
  <dimension ref="A1:M28"/>
  <sheetViews>
    <sheetView zoomScaleNormal="100" workbookViewId="0">
      <selection activeCell="I12" sqref="I12"/>
    </sheetView>
  </sheetViews>
  <sheetFormatPr defaultRowHeight="15" x14ac:dyDescent="0.25"/>
  <cols>
    <col min="13" max="13" width="15.28515625" customWidth="1"/>
  </cols>
  <sheetData>
    <row r="1" spans="1:13" x14ac:dyDescent="0.25">
      <c r="A1" s="55"/>
      <c r="B1" s="54"/>
      <c r="C1" s="53"/>
      <c r="D1" s="52"/>
      <c r="E1" s="52"/>
      <c r="F1" s="52"/>
      <c r="G1" s="52"/>
      <c r="H1" s="52"/>
      <c r="I1" s="52"/>
      <c r="J1" s="52"/>
      <c r="K1" s="52"/>
      <c r="L1" s="52"/>
      <c r="M1" s="51"/>
    </row>
    <row r="2" spans="1:13" ht="24" customHeight="1" x14ac:dyDescent="0.25">
      <c r="A2" s="48"/>
      <c r="B2" s="208" t="s">
        <v>72</v>
      </c>
      <c r="C2" s="46"/>
      <c r="D2" s="47"/>
      <c r="E2" s="47"/>
      <c r="F2" s="45"/>
      <c r="G2" s="45"/>
      <c r="H2" s="45"/>
      <c r="I2" s="45"/>
      <c r="J2" s="45"/>
      <c r="K2" s="45"/>
      <c r="L2" s="45"/>
      <c r="M2" s="44"/>
    </row>
    <row r="3" spans="1:13" x14ac:dyDescent="0.25">
      <c r="A3" s="48"/>
      <c r="B3" s="47"/>
      <c r="C3" s="46"/>
      <c r="D3" s="47"/>
      <c r="E3" s="47"/>
      <c r="F3" s="45"/>
      <c r="G3" s="45"/>
      <c r="H3" s="45"/>
      <c r="I3" s="45"/>
      <c r="J3" s="45"/>
      <c r="K3" s="45"/>
      <c r="L3" s="45"/>
      <c r="M3" s="44"/>
    </row>
    <row r="4" spans="1:13" x14ac:dyDescent="0.25">
      <c r="A4" s="48"/>
      <c r="B4" s="46">
        <v>1</v>
      </c>
      <c r="C4" s="46" t="s">
        <v>71</v>
      </c>
      <c r="D4" s="46"/>
      <c r="E4" s="46"/>
      <c r="F4" s="50"/>
      <c r="G4" s="50"/>
      <c r="H4" s="45"/>
      <c r="I4" s="45"/>
      <c r="J4" s="45"/>
      <c r="K4" s="45"/>
      <c r="L4" s="45"/>
      <c r="M4" s="44"/>
    </row>
    <row r="5" spans="1:13" x14ac:dyDescent="0.25">
      <c r="A5" s="48"/>
      <c r="B5" s="129">
        <v>2</v>
      </c>
      <c r="C5" s="173" t="s">
        <v>106</v>
      </c>
      <c r="D5" s="46"/>
      <c r="E5" s="46"/>
      <c r="F5" s="50"/>
      <c r="G5" s="50"/>
      <c r="H5" s="45"/>
      <c r="I5" s="45"/>
      <c r="J5" s="45"/>
      <c r="K5" s="45"/>
      <c r="L5" s="45"/>
      <c r="M5" s="44"/>
    </row>
    <row r="6" spans="1:13" x14ac:dyDescent="0.25">
      <c r="A6" s="48"/>
      <c r="B6" s="46">
        <v>3</v>
      </c>
      <c r="C6" s="46" t="s">
        <v>105</v>
      </c>
      <c r="D6" s="46"/>
      <c r="E6" s="46"/>
      <c r="F6" s="50"/>
      <c r="G6" s="50"/>
      <c r="H6" s="45"/>
      <c r="I6" s="45"/>
      <c r="J6" s="45"/>
      <c r="K6" s="45"/>
      <c r="L6" s="45"/>
      <c r="M6" s="44"/>
    </row>
    <row r="7" spans="1:13" x14ac:dyDescent="0.25">
      <c r="A7" s="48"/>
      <c r="B7" s="6">
        <v>4</v>
      </c>
      <c r="C7" s="46" t="s">
        <v>104</v>
      </c>
      <c r="D7" s="46"/>
      <c r="E7" s="46"/>
      <c r="F7" s="50"/>
      <c r="G7" s="50"/>
      <c r="H7" s="45"/>
      <c r="I7" s="45"/>
      <c r="J7" s="45"/>
      <c r="K7" s="45"/>
      <c r="L7" s="45"/>
      <c r="M7" s="44"/>
    </row>
    <row r="8" spans="1:13" x14ac:dyDescent="0.25">
      <c r="A8" s="48"/>
      <c r="B8" s="46">
        <v>5</v>
      </c>
      <c r="C8" s="46" t="s">
        <v>116</v>
      </c>
      <c r="D8" s="47"/>
      <c r="E8" s="47"/>
      <c r="F8" s="45"/>
      <c r="G8" s="45"/>
      <c r="H8" s="45"/>
      <c r="I8" s="45"/>
      <c r="J8" s="45"/>
      <c r="K8" s="45"/>
      <c r="L8" s="45"/>
      <c r="M8" s="44"/>
    </row>
    <row r="9" spans="1:13" x14ac:dyDescent="0.25">
      <c r="A9" s="48"/>
      <c r="B9" s="6">
        <v>6</v>
      </c>
      <c r="C9" s="46" t="s">
        <v>123</v>
      </c>
      <c r="D9" s="47"/>
      <c r="E9" s="47"/>
      <c r="F9" s="45"/>
      <c r="G9" s="45"/>
      <c r="H9" s="45"/>
      <c r="I9" s="45"/>
      <c r="J9" s="45"/>
      <c r="K9" s="45"/>
      <c r="L9" s="45"/>
      <c r="M9" s="44"/>
    </row>
    <row r="10" spans="1:13" x14ac:dyDescent="0.25">
      <c r="A10" s="48"/>
      <c r="B10" s="46">
        <v>7</v>
      </c>
      <c r="C10" s="46" t="s">
        <v>137</v>
      </c>
      <c r="D10" s="47"/>
      <c r="E10" s="47"/>
      <c r="F10" s="45"/>
      <c r="G10" s="45"/>
      <c r="H10" s="45"/>
      <c r="I10" s="45"/>
      <c r="J10" s="45"/>
      <c r="K10" s="45"/>
      <c r="L10" s="45"/>
      <c r="M10" s="44"/>
    </row>
    <row r="11" spans="1:13" x14ac:dyDescent="0.25">
      <c r="A11" s="48"/>
      <c r="B11" s="6">
        <v>8</v>
      </c>
      <c r="C11" s="46" t="s">
        <v>136</v>
      </c>
      <c r="D11" s="47"/>
      <c r="E11" s="47"/>
      <c r="F11" s="45"/>
      <c r="G11" s="45"/>
      <c r="H11" s="45"/>
      <c r="I11" s="45"/>
      <c r="J11" s="45"/>
      <c r="K11" s="45"/>
      <c r="L11" s="45"/>
      <c r="M11" s="44"/>
    </row>
    <row r="12" spans="1:13" x14ac:dyDescent="0.25">
      <c r="A12" s="48"/>
      <c r="B12" s="46">
        <v>9</v>
      </c>
      <c r="C12" s="46" t="s">
        <v>135</v>
      </c>
      <c r="D12" s="47"/>
      <c r="E12" s="47"/>
      <c r="F12" s="45"/>
      <c r="G12" s="45"/>
      <c r="H12" s="45"/>
      <c r="I12" s="45"/>
      <c r="J12" s="45"/>
      <c r="K12" s="45"/>
      <c r="L12" s="45"/>
      <c r="M12" s="44"/>
    </row>
    <row r="13" spans="1:13" x14ac:dyDescent="0.25">
      <c r="A13" s="48"/>
      <c r="B13" s="6">
        <v>10</v>
      </c>
      <c r="C13" s="46" t="s">
        <v>140</v>
      </c>
      <c r="D13" s="47"/>
      <c r="E13" s="47"/>
      <c r="F13" s="45"/>
      <c r="G13" s="45"/>
      <c r="H13" s="45"/>
      <c r="I13" s="45"/>
      <c r="J13" s="45"/>
      <c r="K13" s="45"/>
      <c r="L13" s="45"/>
      <c r="M13" s="44"/>
    </row>
    <row r="14" spans="1:13" x14ac:dyDescent="0.25">
      <c r="A14" s="48"/>
      <c r="B14" s="46">
        <v>11</v>
      </c>
      <c r="C14" s="46" t="s">
        <v>142</v>
      </c>
      <c r="D14" s="47"/>
      <c r="E14" s="47"/>
      <c r="F14" s="45"/>
      <c r="G14" s="45"/>
      <c r="H14" s="45"/>
      <c r="I14" s="45"/>
      <c r="J14" s="45"/>
      <c r="K14" s="45"/>
      <c r="L14" s="45"/>
      <c r="M14" s="44"/>
    </row>
    <row r="15" spans="1:13" x14ac:dyDescent="0.25">
      <c r="A15" s="48"/>
      <c r="B15" s="6">
        <v>12</v>
      </c>
      <c r="C15" s="46" t="s">
        <v>146</v>
      </c>
      <c r="D15" s="47"/>
      <c r="E15" s="47"/>
      <c r="F15" s="45"/>
      <c r="G15" s="45"/>
      <c r="H15" s="45"/>
      <c r="I15" s="45"/>
      <c r="J15" s="45"/>
      <c r="K15" s="45"/>
      <c r="L15" s="45"/>
      <c r="M15" s="44"/>
    </row>
    <row r="16" spans="1:13" x14ac:dyDescent="0.25">
      <c r="A16" s="48"/>
      <c r="B16" s="46">
        <v>13</v>
      </c>
      <c r="C16" s="46" t="s">
        <v>150</v>
      </c>
      <c r="D16" s="47"/>
      <c r="E16" s="47"/>
      <c r="F16" s="45"/>
      <c r="G16" s="45"/>
      <c r="H16" s="45"/>
      <c r="I16" s="45"/>
      <c r="J16" s="45"/>
      <c r="K16" s="45"/>
      <c r="L16" s="45"/>
      <c r="M16" s="44"/>
    </row>
    <row r="17" spans="1:13" x14ac:dyDescent="0.25">
      <c r="A17" s="48"/>
      <c r="B17" s="6">
        <v>14</v>
      </c>
      <c r="C17" s="47" t="s">
        <v>149</v>
      </c>
      <c r="D17" s="47"/>
      <c r="E17" s="47"/>
      <c r="F17" s="45"/>
      <c r="G17" s="45"/>
      <c r="H17" s="45"/>
      <c r="I17" s="45"/>
      <c r="J17" s="45"/>
      <c r="K17" s="45"/>
      <c r="L17" s="45"/>
      <c r="M17" s="44"/>
    </row>
    <row r="18" spans="1:13" x14ac:dyDescent="0.25">
      <c r="A18" s="49"/>
      <c r="B18" s="46">
        <v>15</v>
      </c>
      <c r="C18" s="47" t="s">
        <v>155</v>
      </c>
      <c r="D18" s="47"/>
      <c r="E18" s="47"/>
      <c r="F18" s="45"/>
      <c r="G18" s="45"/>
      <c r="H18" s="45"/>
      <c r="I18" s="45"/>
      <c r="J18" s="45"/>
      <c r="K18" s="45"/>
      <c r="L18" s="45"/>
      <c r="M18" s="44"/>
    </row>
    <row r="19" spans="1:13" x14ac:dyDescent="0.25">
      <c r="A19" s="48"/>
      <c r="B19" s="6">
        <v>16</v>
      </c>
      <c r="C19" s="47" t="s">
        <v>154</v>
      </c>
      <c r="D19" s="47"/>
      <c r="E19" s="47"/>
      <c r="F19" s="45"/>
      <c r="G19" s="45"/>
      <c r="H19" s="45"/>
      <c r="I19" s="45"/>
      <c r="J19" s="45"/>
      <c r="K19" s="45"/>
      <c r="L19" s="45"/>
      <c r="M19" s="44"/>
    </row>
    <row r="20" spans="1:13" x14ac:dyDescent="0.25">
      <c r="A20" s="48"/>
      <c r="B20" s="46">
        <v>17</v>
      </c>
      <c r="C20" s="47" t="s">
        <v>168</v>
      </c>
      <c r="D20" s="47"/>
      <c r="E20" s="47"/>
      <c r="F20" s="45"/>
      <c r="G20" s="45"/>
      <c r="H20" s="45"/>
      <c r="I20" s="45"/>
      <c r="J20" s="45"/>
      <c r="K20" s="45"/>
      <c r="L20" s="45"/>
      <c r="M20" s="44"/>
    </row>
    <row r="21" spans="1:13" x14ac:dyDescent="0.25">
      <c r="A21" s="48"/>
      <c r="B21" s="6">
        <v>18</v>
      </c>
      <c r="C21" s="47" t="s">
        <v>167</v>
      </c>
      <c r="D21" s="47"/>
      <c r="E21" s="47"/>
      <c r="F21" s="45"/>
      <c r="G21" s="45"/>
      <c r="H21" s="45"/>
      <c r="I21" s="45"/>
      <c r="J21" s="45"/>
      <c r="K21" s="45"/>
      <c r="L21" s="45"/>
      <c r="M21" s="44"/>
    </row>
    <row r="22" spans="1:13" x14ac:dyDescent="0.25">
      <c r="A22" s="48"/>
      <c r="B22" s="46">
        <v>19</v>
      </c>
      <c r="C22" s="47" t="s">
        <v>166</v>
      </c>
      <c r="D22" s="47"/>
      <c r="E22" s="47"/>
      <c r="F22" s="45"/>
      <c r="G22" s="45"/>
      <c r="H22" s="45"/>
      <c r="I22" s="45"/>
      <c r="J22" s="45"/>
      <c r="K22" s="45"/>
      <c r="L22" s="45"/>
      <c r="M22" s="44"/>
    </row>
    <row r="23" spans="1:13" x14ac:dyDescent="0.25">
      <c r="A23" s="48"/>
      <c r="B23" s="6">
        <v>20</v>
      </c>
      <c r="C23" s="47" t="s">
        <v>178</v>
      </c>
      <c r="D23" s="47"/>
      <c r="E23" s="47"/>
      <c r="F23" s="45"/>
      <c r="G23" s="45"/>
      <c r="H23" s="45"/>
      <c r="I23" s="45"/>
      <c r="J23" s="45"/>
      <c r="K23" s="45"/>
      <c r="L23" s="45"/>
      <c r="M23" s="44"/>
    </row>
    <row r="24" spans="1:13" x14ac:dyDescent="0.25">
      <c r="A24" s="49"/>
      <c r="B24" s="46">
        <v>21</v>
      </c>
      <c r="C24" s="47" t="s">
        <v>177</v>
      </c>
      <c r="D24" s="47"/>
      <c r="E24" s="47"/>
      <c r="F24" s="45"/>
      <c r="G24" s="45"/>
      <c r="H24" s="45"/>
      <c r="I24" s="45"/>
      <c r="J24" s="45"/>
      <c r="K24" s="45"/>
      <c r="L24" s="45"/>
      <c r="M24" s="44"/>
    </row>
    <row r="25" spans="1:13" x14ac:dyDescent="0.25">
      <c r="A25" s="48"/>
      <c r="B25" s="6">
        <v>22</v>
      </c>
      <c r="C25" s="47" t="s">
        <v>186</v>
      </c>
      <c r="D25" s="47"/>
      <c r="E25" s="47"/>
      <c r="F25" s="45"/>
      <c r="G25" s="45"/>
      <c r="H25" s="45"/>
      <c r="I25" s="45"/>
      <c r="J25" s="45"/>
      <c r="K25" s="45"/>
      <c r="L25" s="45"/>
      <c r="M25" s="44"/>
    </row>
    <row r="26" spans="1:13" x14ac:dyDescent="0.25">
      <c r="A26" s="48"/>
      <c r="B26" s="46">
        <v>23</v>
      </c>
      <c r="C26" s="47" t="s">
        <v>187</v>
      </c>
      <c r="D26" s="47"/>
      <c r="E26" s="47"/>
      <c r="F26" s="45"/>
      <c r="G26" s="45"/>
      <c r="H26" s="45"/>
      <c r="I26" s="45"/>
      <c r="J26" s="45"/>
      <c r="K26" s="45"/>
      <c r="L26" s="45"/>
      <c r="M26" s="44"/>
    </row>
    <row r="27" spans="1:13" x14ac:dyDescent="0.25">
      <c r="A27" s="48"/>
      <c r="B27" s="6">
        <v>24</v>
      </c>
      <c r="C27" s="46" t="s">
        <v>188</v>
      </c>
      <c r="D27" s="47"/>
      <c r="E27" s="47"/>
      <c r="F27" s="45"/>
      <c r="G27" s="45"/>
      <c r="H27" s="45"/>
      <c r="I27" s="45"/>
      <c r="J27" s="45"/>
      <c r="K27" s="45"/>
      <c r="L27" s="45"/>
      <c r="M27" s="44"/>
    </row>
    <row r="28" spans="1:13" ht="15.75" thickBot="1" x14ac:dyDescent="0.3">
      <c r="A28" s="43"/>
      <c r="B28" s="42"/>
      <c r="C28" s="41"/>
      <c r="D28" s="40"/>
      <c r="E28" s="39"/>
      <c r="F28" s="39"/>
      <c r="G28" s="39"/>
      <c r="H28" s="39"/>
      <c r="I28" s="39"/>
      <c r="J28" s="39"/>
      <c r="K28" s="39"/>
      <c r="L28" s="39"/>
      <c r="M28" s="38"/>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40307-DD1A-4A74-906E-78AFA3AD6E5D}">
  <sheetPr codeName="Sheet2"/>
  <dimension ref="A1:D16"/>
  <sheetViews>
    <sheetView workbookViewId="0">
      <selection activeCell="A23" sqref="A23"/>
    </sheetView>
  </sheetViews>
  <sheetFormatPr defaultRowHeight="15" x14ac:dyDescent="0.25"/>
  <cols>
    <col min="1" max="1" width="49.140625" customWidth="1"/>
    <col min="2" max="2" width="31.42578125" customWidth="1"/>
    <col min="3" max="3" width="34.28515625" customWidth="1"/>
    <col min="4" max="4" width="30.28515625" customWidth="1"/>
  </cols>
  <sheetData>
    <row r="1" spans="1:4" ht="20.100000000000001" customHeight="1" x14ac:dyDescent="0.3">
      <c r="A1" s="1" t="s">
        <v>74</v>
      </c>
      <c r="B1" s="1"/>
      <c r="C1" s="2"/>
      <c r="D1" s="3"/>
    </row>
    <row r="2" spans="1:4" ht="51.95" customHeight="1" x14ac:dyDescent="0.25">
      <c r="A2" s="242" t="s">
        <v>73</v>
      </c>
      <c r="B2" s="242"/>
      <c r="C2" s="66"/>
    </row>
    <row r="3" spans="1:4" ht="16.5" customHeight="1" x14ac:dyDescent="0.25">
      <c r="A3" s="169"/>
      <c r="B3" s="169"/>
      <c r="C3" s="66"/>
    </row>
    <row r="4" spans="1:4" ht="20.100000000000001" customHeight="1" x14ac:dyDescent="0.25">
      <c r="A4" s="63" t="s">
        <v>75</v>
      </c>
      <c r="B4" s="67" t="s">
        <v>76</v>
      </c>
    </row>
    <row r="5" spans="1:4" ht="20.100000000000001" customHeight="1" x14ac:dyDescent="0.25">
      <c r="A5" s="133" t="s">
        <v>4</v>
      </c>
      <c r="B5" s="143">
        <v>326250000</v>
      </c>
    </row>
    <row r="6" spans="1:4" ht="20.100000000000001" customHeight="1" x14ac:dyDescent="0.3">
      <c r="A6" s="133" t="s">
        <v>3</v>
      </c>
      <c r="B6" s="143">
        <v>150000000</v>
      </c>
      <c r="C6" s="35"/>
      <c r="D6" s="35"/>
    </row>
    <row r="7" spans="1:4" ht="20.100000000000001" customHeight="1" x14ac:dyDescent="0.3">
      <c r="A7" s="133" t="s">
        <v>1</v>
      </c>
      <c r="B7" s="143">
        <v>300000000</v>
      </c>
      <c r="C7" s="35"/>
      <c r="D7" s="35"/>
    </row>
    <row r="8" spans="1:4" ht="20.100000000000001" customHeight="1" x14ac:dyDescent="0.3">
      <c r="A8" s="133" t="s">
        <v>2</v>
      </c>
      <c r="B8" s="143">
        <v>400000000</v>
      </c>
      <c r="C8" s="35"/>
      <c r="D8" s="35"/>
    </row>
    <row r="9" spans="1:4" ht="20.100000000000001" customHeight="1" x14ac:dyDescent="0.3">
      <c r="A9" s="65" t="s">
        <v>15</v>
      </c>
      <c r="B9" s="144">
        <v>1176250000</v>
      </c>
      <c r="C9" s="3"/>
      <c r="D9" s="3"/>
    </row>
    <row r="10" spans="1:4" ht="20.100000000000001" customHeight="1" x14ac:dyDescent="0.3">
      <c r="C10" s="3"/>
      <c r="D10" s="3"/>
    </row>
    <row r="11" spans="1:4" ht="20.100000000000001" customHeight="1" x14ac:dyDescent="0.3">
      <c r="C11" s="3"/>
      <c r="D11" s="3"/>
    </row>
    <row r="12" spans="1:4" ht="20.100000000000001" customHeight="1" x14ac:dyDescent="0.25">
      <c r="A12" s="58"/>
    </row>
    <row r="13" spans="1:4" ht="20.100000000000001" customHeight="1" x14ac:dyDescent="0.25"/>
    <row r="14" spans="1:4" ht="20.100000000000001" customHeight="1" x14ac:dyDescent="0.25">
      <c r="C14" t="s">
        <v>14</v>
      </c>
    </row>
    <row r="15" spans="1:4" ht="20.100000000000001" customHeight="1" x14ac:dyDescent="0.25"/>
    <row r="16" spans="1:4" ht="20.100000000000001" customHeight="1" x14ac:dyDescent="0.25"/>
  </sheetData>
  <mergeCells count="1">
    <mergeCell ref="A2: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A13C2-7045-43EC-BA23-FD37BEF2D807}">
  <dimension ref="A1:G15"/>
  <sheetViews>
    <sheetView workbookViewId="0">
      <selection activeCell="B21" sqref="B21"/>
    </sheetView>
  </sheetViews>
  <sheetFormatPr defaultColWidth="8.7109375" defaultRowHeight="15" x14ac:dyDescent="0.25"/>
  <cols>
    <col min="1" max="1" width="50.85546875" style="77" customWidth="1"/>
    <col min="2" max="2" width="27.85546875" style="77" customWidth="1"/>
    <col min="3" max="3" width="36.42578125" style="77" customWidth="1"/>
    <col min="4" max="4" width="22.7109375" style="77" customWidth="1"/>
    <col min="5" max="6" width="8.7109375" style="77"/>
    <col min="7" max="7" width="12.7109375" style="77" bestFit="1" customWidth="1"/>
    <col min="8" max="16384" width="8.7109375" style="77"/>
  </cols>
  <sheetData>
    <row r="1" spans="1:7" ht="20.100000000000001" customHeight="1" x14ac:dyDescent="0.25">
      <c r="A1" s="75" t="s">
        <v>89</v>
      </c>
      <c r="B1" s="75"/>
      <c r="C1" s="75"/>
      <c r="D1" s="76"/>
    </row>
    <row r="2" spans="1:7" ht="72.75" customHeight="1" x14ac:dyDescent="0.25">
      <c r="A2" s="243" t="s">
        <v>90</v>
      </c>
      <c r="B2" s="243"/>
      <c r="C2" s="243"/>
      <c r="D2" s="76"/>
    </row>
    <row r="3" spans="1:7" ht="14.1" customHeight="1" x14ac:dyDescent="0.25">
      <c r="A3" s="174"/>
      <c r="B3" s="174"/>
      <c r="C3" s="174"/>
      <c r="D3" s="76"/>
    </row>
    <row r="4" spans="1:7" ht="20.100000000000001" customHeight="1" x14ac:dyDescent="0.25">
      <c r="A4" s="137" t="s">
        <v>78</v>
      </c>
      <c r="B4" s="138" t="s">
        <v>77</v>
      </c>
      <c r="C4" s="139" t="s">
        <v>79</v>
      </c>
      <c r="D4" s="56"/>
    </row>
    <row r="5" spans="1:7" ht="20.100000000000001" customHeight="1" x14ac:dyDescent="0.25">
      <c r="A5" s="142" t="s">
        <v>80</v>
      </c>
      <c r="B5" s="140">
        <v>278928571</v>
      </c>
      <c r="C5" s="175">
        <v>0.237133747927736</v>
      </c>
      <c r="D5" s="78"/>
      <c r="F5" s="79"/>
      <c r="G5" s="80"/>
    </row>
    <row r="6" spans="1:7" ht="20.100000000000001" customHeight="1" x14ac:dyDescent="0.25">
      <c r="A6" s="83" t="s">
        <v>81</v>
      </c>
      <c r="B6" s="140">
        <v>57142857</v>
      </c>
      <c r="C6" s="175">
        <v>4.8580537300743902E-2</v>
      </c>
      <c r="D6" s="78"/>
      <c r="F6" s="79"/>
    </row>
    <row r="7" spans="1:7" ht="20.100000000000001" customHeight="1" x14ac:dyDescent="0.25">
      <c r="A7" s="83" t="s">
        <v>82</v>
      </c>
      <c r="B7" s="140">
        <v>233500000</v>
      </c>
      <c r="C7" s="175">
        <v>0.19851222104144528</v>
      </c>
      <c r="D7" s="78"/>
      <c r="F7" s="79"/>
    </row>
    <row r="8" spans="1:7" ht="20.100000000000001" customHeight="1" x14ac:dyDescent="0.25">
      <c r="A8" s="83" t="s">
        <v>83</v>
      </c>
      <c r="B8" s="140">
        <v>105000000</v>
      </c>
      <c r="C8" s="175">
        <v>8.9266737513283748E-2</v>
      </c>
      <c r="D8" s="78"/>
      <c r="F8" s="79"/>
    </row>
    <row r="9" spans="1:7" ht="20.100000000000001" customHeight="1" x14ac:dyDescent="0.25">
      <c r="A9" s="83" t="s">
        <v>84</v>
      </c>
      <c r="B9" s="140">
        <v>26500000</v>
      </c>
      <c r="C9" s="175">
        <v>2.2529224229543038E-2</v>
      </c>
      <c r="D9" s="78"/>
      <c r="F9" s="79"/>
    </row>
    <row r="10" spans="1:7" ht="20.100000000000001" customHeight="1" x14ac:dyDescent="0.25">
      <c r="A10" s="83" t="s">
        <v>85</v>
      </c>
      <c r="B10" s="140">
        <v>172475857</v>
      </c>
      <c r="C10" s="175">
        <v>0.14663197194473965</v>
      </c>
      <c r="D10" s="81"/>
    </row>
    <row r="11" spans="1:7" ht="20.100000000000001" customHeight="1" x14ac:dyDescent="0.25">
      <c r="A11" s="83" t="s">
        <v>86</v>
      </c>
      <c r="B11" s="140">
        <v>13000000</v>
      </c>
      <c r="C11" s="175">
        <v>1.1052072263549416E-2</v>
      </c>
      <c r="D11" s="76"/>
    </row>
    <row r="12" spans="1:7" ht="20.100000000000001" customHeight="1" x14ac:dyDescent="0.25">
      <c r="A12" s="83" t="s">
        <v>87</v>
      </c>
      <c r="B12" s="140">
        <v>282725929</v>
      </c>
      <c r="C12" s="175">
        <v>0.24036210754516471</v>
      </c>
      <c r="D12" s="76"/>
    </row>
    <row r="13" spans="1:7" ht="15.75" x14ac:dyDescent="0.25">
      <c r="A13" s="132" t="s">
        <v>88</v>
      </c>
      <c r="B13" s="140">
        <v>6976786</v>
      </c>
      <c r="C13" s="175">
        <v>5.9313802337938367E-3</v>
      </c>
    </row>
    <row r="14" spans="1:7" ht="15.75" x14ac:dyDescent="0.25">
      <c r="A14" s="64" t="s">
        <v>0</v>
      </c>
      <c r="B14" s="141">
        <v>1176250000</v>
      </c>
      <c r="C14" s="176">
        <v>1.0000000000000002</v>
      </c>
    </row>
    <row r="15" spans="1:7" x14ac:dyDescent="0.25">
      <c r="A15" s="77" t="s">
        <v>14</v>
      </c>
    </row>
  </sheetData>
  <mergeCells count="1">
    <mergeCell ref="A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18440-AFF9-404F-85A6-E78FF8ADEE81}">
  <sheetPr codeName="Sheet4"/>
  <dimension ref="A1:G14"/>
  <sheetViews>
    <sheetView workbookViewId="0">
      <selection activeCell="C19" sqref="C19"/>
    </sheetView>
  </sheetViews>
  <sheetFormatPr defaultColWidth="8.7109375" defaultRowHeight="15" x14ac:dyDescent="0.25"/>
  <cols>
    <col min="1" max="1" width="32.28515625" style="77" customWidth="1"/>
    <col min="2" max="2" width="27.42578125" style="77" customWidth="1"/>
    <col min="3" max="3" width="27.140625" style="77" customWidth="1"/>
    <col min="4" max="4" width="35.28515625" style="77" customWidth="1"/>
    <col min="5" max="6" width="8.7109375" style="77"/>
    <col min="7" max="7" width="12.7109375" style="77" bestFit="1" customWidth="1"/>
    <col min="8" max="16384" width="8.7109375" style="77"/>
  </cols>
  <sheetData>
    <row r="1" spans="1:7" ht="20.100000000000001" customHeight="1" x14ac:dyDescent="0.25">
      <c r="A1" s="75" t="s">
        <v>117</v>
      </c>
      <c r="B1" s="75"/>
      <c r="C1" s="75"/>
      <c r="D1" s="76"/>
    </row>
    <row r="2" spans="1:7" ht="57" customHeight="1" x14ac:dyDescent="0.25">
      <c r="A2" s="243" t="s">
        <v>92</v>
      </c>
      <c r="B2" s="243"/>
      <c r="C2" s="243"/>
      <c r="D2" s="243"/>
    </row>
    <row r="3" spans="1:7" ht="17.100000000000001" customHeight="1" x14ac:dyDescent="0.25">
      <c r="A3" s="174"/>
      <c r="B3" s="174"/>
      <c r="C3" s="174"/>
      <c r="D3" s="174"/>
    </row>
    <row r="4" spans="1:7" ht="20.100000000000001" customHeight="1" x14ac:dyDescent="0.25">
      <c r="A4" s="137" t="s">
        <v>93</v>
      </c>
      <c r="B4" s="138" t="s">
        <v>91</v>
      </c>
      <c r="C4" s="138" t="s">
        <v>77</v>
      </c>
      <c r="D4" s="139" t="s">
        <v>79</v>
      </c>
    </row>
    <row r="5" spans="1:7" ht="20.100000000000001" customHeight="1" x14ac:dyDescent="0.25">
      <c r="A5" s="131" t="s">
        <v>94</v>
      </c>
      <c r="B5" s="76">
        <v>30</v>
      </c>
      <c r="C5" s="130">
        <v>752759857</v>
      </c>
      <c r="D5" s="177">
        <v>0.63996587205100952</v>
      </c>
      <c r="F5" s="79"/>
      <c r="G5" s="80"/>
    </row>
    <row r="6" spans="1:7" ht="20.100000000000001" customHeight="1" x14ac:dyDescent="0.25">
      <c r="A6" s="83" t="s">
        <v>95</v>
      </c>
      <c r="B6" s="76">
        <v>2</v>
      </c>
      <c r="C6" s="130">
        <v>336071428</v>
      </c>
      <c r="D6" s="177">
        <v>0.28571428522848036</v>
      </c>
      <c r="F6" s="79"/>
    </row>
    <row r="7" spans="1:7" ht="20.100000000000001" customHeight="1" x14ac:dyDescent="0.25">
      <c r="A7" s="83" t="s">
        <v>5</v>
      </c>
      <c r="B7" s="76">
        <v>3</v>
      </c>
      <c r="C7" s="130">
        <v>42500000</v>
      </c>
      <c r="D7" s="177">
        <v>3.6131774707757705E-2</v>
      </c>
      <c r="F7" s="79"/>
    </row>
    <row r="8" spans="1:7" ht="20.100000000000001" customHeight="1" x14ac:dyDescent="0.25">
      <c r="A8" s="83" t="s">
        <v>96</v>
      </c>
      <c r="B8" s="76">
        <v>6</v>
      </c>
      <c r="C8" s="130">
        <v>13183000</v>
      </c>
      <c r="D8" s="177">
        <v>1.1207651434643995E-2</v>
      </c>
      <c r="F8" s="79"/>
    </row>
    <row r="9" spans="1:7" ht="20.100000000000001" customHeight="1" x14ac:dyDescent="0.25">
      <c r="A9" s="83" t="s">
        <v>97</v>
      </c>
      <c r="B9" s="76">
        <v>2</v>
      </c>
      <c r="C9" s="130">
        <v>31735715</v>
      </c>
      <c r="D9" s="177">
        <v>2.6980416578108395E-2</v>
      </c>
      <c r="F9" s="79"/>
    </row>
    <row r="10" spans="1:7" ht="20.100000000000001" customHeight="1" x14ac:dyDescent="0.25">
      <c r="A10" s="64" t="s">
        <v>0</v>
      </c>
      <c r="B10" s="134">
        <v>43</v>
      </c>
      <c r="C10" s="82">
        <v>1176250000</v>
      </c>
      <c r="D10" s="178">
        <v>1</v>
      </c>
    </row>
    <row r="11" spans="1:7" ht="20.100000000000001" customHeight="1" x14ac:dyDescent="0.25">
      <c r="A11" s="75"/>
      <c r="B11" s="75"/>
      <c r="C11" s="75"/>
      <c r="D11" s="76"/>
    </row>
    <row r="12" spans="1:7" ht="20.100000000000001" customHeight="1" x14ac:dyDescent="0.25">
      <c r="A12" s="84"/>
      <c r="B12" s="76"/>
      <c r="C12" s="76"/>
      <c r="D12" s="76"/>
    </row>
    <row r="13" spans="1:7" x14ac:dyDescent="0.25">
      <c r="A13" s="85"/>
    </row>
    <row r="14" spans="1:7" x14ac:dyDescent="0.25">
      <c r="B14" s="77" t="s">
        <v>14</v>
      </c>
    </row>
  </sheetData>
  <mergeCells count="1">
    <mergeCell ref="A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78F7-8DD9-4414-A7FA-A2C67499F3FB}">
  <sheetPr codeName="Sheet5"/>
  <dimension ref="A1:P126"/>
  <sheetViews>
    <sheetView zoomScaleNormal="100" workbookViewId="0">
      <selection activeCell="C18" sqref="C18"/>
    </sheetView>
  </sheetViews>
  <sheetFormatPr defaultColWidth="8.7109375" defaultRowHeight="15" x14ac:dyDescent="0.25"/>
  <cols>
    <col min="1" max="1" width="62.7109375" style="77" customWidth="1"/>
    <col min="2" max="2" width="30.28515625" style="77" customWidth="1"/>
    <col min="3" max="3" width="36.140625" style="77" customWidth="1"/>
    <col min="4" max="5" width="8.7109375" style="77"/>
    <col min="6" max="6" width="14.28515625" style="77" customWidth="1"/>
    <col min="7" max="7" width="14.42578125" style="77" customWidth="1"/>
    <col min="8" max="8" width="8.7109375" style="77"/>
    <col min="9" max="9" width="10" style="77" customWidth="1"/>
    <col min="10" max="10" width="14.5703125" style="77" customWidth="1"/>
    <col min="11" max="11" width="16.42578125" style="77" customWidth="1"/>
    <col min="12" max="12" width="17.28515625" style="77" customWidth="1"/>
    <col min="13" max="16384" width="8.7109375" style="77"/>
  </cols>
  <sheetData>
    <row r="1" spans="1:7" ht="22.5" customHeight="1" x14ac:dyDescent="0.25">
      <c r="A1" s="75" t="s">
        <v>192</v>
      </c>
      <c r="B1" s="75"/>
      <c r="C1" s="75"/>
    </row>
    <row r="2" spans="1:7" ht="48.95" customHeight="1" x14ac:dyDescent="0.25">
      <c r="A2" s="243" t="s">
        <v>103</v>
      </c>
      <c r="B2" s="243"/>
      <c r="C2" s="243"/>
    </row>
    <row r="3" spans="1:7" ht="15" customHeight="1" x14ac:dyDescent="0.25">
      <c r="A3" s="174"/>
      <c r="B3" s="174"/>
      <c r="C3" s="174"/>
    </row>
    <row r="4" spans="1:7" ht="20.100000000000001" customHeight="1" x14ac:dyDescent="0.25">
      <c r="A4" s="137" t="s">
        <v>102</v>
      </c>
      <c r="B4" s="138" t="s">
        <v>138</v>
      </c>
      <c r="C4" s="139" t="s">
        <v>79</v>
      </c>
    </row>
    <row r="5" spans="1:7" ht="20.100000000000001" customHeight="1" x14ac:dyDescent="0.25">
      <c r="A5" s="83" t="s">
        <v>98</v>
      </c>
      <c r="B5" s="86">
        <v>179.9</v>
      </c>
      <c r="C5" s="177">
        <v>0.86531986531986538</v>
      </c>
    </row>
    <row r="6" spans="1:7" ht="20.100000000000001" customHeight="1" x14ac:dyDescent="0.25">
      <c r="A6" s="83" t="s">
        <v>99</v>
      </c>
      <c r="B6" s="86">
        <v>28</v>
      </c>
      <c r="C6" s="177">
        <v>0.13</v>
      </c>
    </row>
    <row r="7" spans="1:7" ht="20.100000000000001" customHeight="1" x14ac:dyDescent="0.25">
      <c r="A7" s="83"/>
      <c r="B7" s="86"/>
      <c r="C7" s="177"/>
    </row>
    <row r="8" spans="1:7" ht="20.100000000000001" customHeight="1" x14ac:dyDescent="0.25">
      <c r="A8" s="83" t="s">
        <v>100</v>
      </c>
      <c r="B8" s="86">
        <v>821.6</v>
      </c>
      <c r="C8" s="177">
        <v>0.80651811131834694</v>
      </c>
    </row>
    <row r="9" spans="1:7" ht="20.100000000000001" customHeight="1" x14ac:dyDescent="0.25">
      <c r="A9" s="135" t="s">
        <v>101</v>
      </c>
      <c r="B9" s="136">
        <v>197.1</v>
      </c>
      <c r="C9" s="198">
        <v>0.19825078986462452</v>
      </c>
    </row>
    <row r="10" spans="1:7" ht="20.100000000000001" customHeight="1" x14ac:dyDescent="0.25">
      <c r="A10" s="76"/>
      <c r="B10" s="166"/>
      <c r="C10" s="76"/>
    </row>
    <row r="11" spans="1:7" ht="20.100000000000001" customHeight="1" x14ac:dyDescent="0.25">
      <c r="A11" s="84"/>
      <c r="B11" s="76"/>
      <c r="C11" s="76"/>
    </row>
    <row r="12" spans="1:7" ht="15.75" x14ac:dyDescent="0.25">
      <c r="A12" s="85"/>
      <c r="B12" s="76"/>
      <c r="C12" s="76"/>
    </row>
    <row r="13" spans="1:7" x14ac:dyDescent="0.25">
      <c r="B13" s="87"/>
      <c r="C13" s="87"/>
      <c r="D13" s="87"/>
      <c r="E13" s="87"/>
      <c r="F13" s="87"/>
      <c r="G13" s="88"/>
    </row>
    <row r="14" spans="1:7" x14ac:dyDescent="0.25">
      <c r="A14" s="87"/>
      <c r="B14" s="87"/>
      <c r="C14" s="87"/>
      <c r="D14" s="87"/>
      <c r="E14" s="87"/>
      <c r="F14" s="87"/>
      <c r="G14" s="88"/>
    </row>
    <row r="15" spans="1:7" ht="23.1" customHeight="1" x14ac:dyDescent="0.25">
      <c r="A15" s="89"/>
      <c r="B15" s="56"/>
      <c r="C15" s="90"/>
      <c r="D15" s="91"/>
      <c r="E15" s="91"/>
      <c r="F15" s="91"/>
      <c r="G15" s="92"/>
    </row>
    <row r="16" spans="1:7" ht="15.75" x14ac:dyDescent="0.25">
      <c r="A16" s="75"/>
      <c r="B16" s="86"/>
      <c r="C16" s="93"/>
      <c r="D16" s="94"/>
      <c r="E16" s="94"/>
      <c r="F16" s="94"/>
      <c r="G16" s="95"/>
    </row>
    <row r="17" spans="1:9" ht="15.75" x14ac:dyDescent="0.25">
      <c r="B17" s="86"/>
      <c r="C17" s="93"/>
      <c r="D17" s="96"/>
      <c r="E17" s="96"/>
      <c r="F17" s="96"/>
      <c r="G17" s="97"/>
      <c r="I17" s="96"/>
    </row>
    <row r="18" spans="1:9" ht="15.75" x14ac:dyDescent="0.25">
      <c r="A18" s="75"/>
      <c r="B18" s="86"/>
      <c r="C18" s="93"/>
      <c r="D18" s="96"/>
      <c r="E18" s="96"/>
      <c r="F18" s="96"/>
      <c r="G18" s="97"/>
    </row>
    <row r="19" spans="1:9" x14ac:dyDescent="0.25">
      <c r="A19" s="98"/>
      <c r="B19" s="99"/>
      <c r="C19" s="98"/>
      <c r="D19" s="98"/>
      <c r="E19" s="98"/>
      <c r="F19" s="98"/>
      <c r="G19" s="100"/>
    </row>
    <row r="20" spans="1:9" ht="15.75" x14ac:dyDescent="0.25">
      <c r="A20" s="101"/>
      <c r="B20" s="102"/>
      <c r="C20" s="103"/>
      <c r="D20" s="96"/>
      <c r="E20" s="96"/>
      <c r="F20" s="96"/>
      <c r="G20" s="97"/>
    </row>
    <row r="21" spans="1:9" x14ac:dyDescent="0.25">
      <c r="A21" s="91"/>
      <c r="B21" s="91"/>
      <c r="C21" s="91"/>
      <c r="D21" s="91"/>
      <c r="E21" s="91"/>
      <c r="F21" s="91"/>
      <c r="G21" s="92"/>
    </row>
    <row r="22" spans="1:9" x14ac:dyDescent="0.25">
      <c r="A22" s="96"/>
      <c r="B22" s="96" t="s">
        <v>14</v>
      </c>
      <c r="C22" s="96"/>
      <c r="D22" s="96"/>
      <c r="E22" s="96"/>
      <c r="F22" s="96"/>
      <c r="G22" s="97"/>
    </row>
    <row r="23" spans="1:9" x14ac:dyDescent="0.25">
      <c r="A23" s="91"/>
      <c r="B23" s="91"/>
      <c r="C23" s="91"/>
      <c r="D23" s="91"/>
      <c r="E23" s="91"/>
      <c r="F23" s="91"/>
      <c r="G23" s="92"/>
    </row>
    <row r="24" spans="1:9" x14ac:dyDescent="0.25">
      <c r="A24" s="96"/>
      <c r="B24" s="96"/>
      <c r="C24" s="96"/>
      <c r="D24" s="96"/>
      <c r="E24" s="96"/>
      <c r="F24" s="96"/>
      <c r="G24" s="97"/>
    </row>
    <row r="25" spans="1:9" x14ac:dyDescent="0.25">
      <c r="A25" s="104"/>
      <c r="B25" s="104"/>
      <c r="C25" s="104"/>
      <c r="D25" s="104"/>
      <c r="E25" s="104"/>
      <c r="F25" s="104"/>
      <c r="G25" s="105"/>
    </row>
    <row r="26" spans="1:9" x14ac:dyDescent="0.25">
      <c r="A26" s="91"/>
      <c r="B26" s="91"/>
      <c r="C26" s="91"/>
      <c r="D26" s="91"/>
      <c r="E26" s="91"/>
      <c r="F26" s="91"/>
      <c r="G26" s="92"/>
    </row>
    <row r="27" spans="1:9" x14ac:dyDescent="0.25">
      <c r="A27" s="98"/>
      <c r="B27" s="98"/>
      <c r="C27" s="98"/>
      <c r="D27" s="98"/>
      <c r="E27" s="98"/>
      <c r="F27" s="98"/>
      <c r="G27" s="80"/>
    </row>
    <row r="28" spans="1:9" x14ac:dyDescent="0.25">
      <c r="A28" s="98"/>
      <c r="B28" s="98"/>
      <c r="C28" s="98"/>
      <c r="D28" s="98"/>
      <c r="E28" s="98"/>
      <c r="F28" s="98"/>
      <c r="G28" s="80"/>
    </row>
    <row r="29" spans="1:9" x14ac:dyDescent="0.25">
      <c r="A29" s="91"/>
      <c r="B29" s="91"/>
      <c r="C29" s="91"/>
      <c r="D29" s="91"/>
      <c r="E29" s="91"/>
      <c r="F29" s="91"/>
      <c r="G29" s="92"/>
    </row>
    <row r="30" spans="1:9" x14ac:dyDescent="0.25">
      <c r="A30" s="91"/>
      <c r="B30" s="91"/>
      <c r="C30" s="91"/>
      <c r="D30" s="91"/>
      <c r="E30" s="91"/>
      <c r="F30" s="91"/>
      <c r="G30" s="92"/>
    </row>
    <row r="31" spans="1:9" x14ac:dyDescent="0.25">
      <c r="A31" s="98"/>
      <c r="B31" s="98"/>
      <c r="C31" s="98"/>
      <c r="D31" s="98"/>
      <c r="E31" s="98"/>
      <c r="F31" s="98"/>
      <c r="G31" s="100"/>
    </row>
    <row r="32" spans="1:9" x14ac:dyDescent="0.25">
      <c r="A32" s="96"/>
      <c r="B32" s="96"/>
      <c r="C32" s="96"/>
      <c r="D32" s="96"/>
      <c r="E32" s="96"/>
      <c r="F32" s="96"/>
      <c r="G32" s="97"/>
    </row>
    <row r="33" spans="1:12" x14ac:dyDescent="0.25">
      <c r="A33" s="91"/>
      <c r="B33" s="91"/>
      <c r="C33" s="91"/>
      <c r="D33" s="91"/>
      <c r="E33" s="91"/>
      <c r="F33" s="91"/>
      <c r="G33" s="92"/>
    </row>
    <row r="34" spans="1:12" x14ac:dyDescent="0.25">
      <c r="A34" s="91"/>
      <c r="B34" s="91"/>
      <c r="C34" s="91"/>
      <c r="D34" s="91"/>
      <c r="E34" s="91"/>
      <c r="F34" s="91"/>
      <c r="G34" s="92"/>
    </row>
    <row r="35" spans="1:12" x14ac:dyDescent="0.25">
      <c r="A35" s="98"/>
      <c r="B35" s="98"/>
      <c r="C35" s="98"/>
      <c r="D35" s="98"/>
      <c r="E35" s="98"/>
      <c r="F35" s="98"/>
      <c r="G35" s="100"/>
    </row>
    <row r="36" spans="1:12" x14ac:dyDescent="0.25">
      <c r="A36" s="98"/>
      <c r="B36" s="98"/>
      <c r="C36" s="98"/>
      <c r="D36" s="98"/>
      <c r="E36" s="98"/>
      <c r="F36" s="98"/>
      <c r="G36" s="100"/>
    </row>
    <row r="37" spans="1:12" x14ac:dyDescent="0.25">
      <c r="A37" s="98"/>
      <c r="B37" s="98"/>
      <c r="C37" s="98"/>
      <c r="D37" s="98"/>
      <c r="E37" s="98"/>
      <c r="F37" s="98"/>
      <c r="G37" s="100"/>
    </row>
    <row r="38" spans="1:12" x14ac:dyDescent="0.25">
      <c r="A38" s="98"/>
      <c r="B38" s="98"/>
      <c r="C38" s="98"/>
      <c r="D38" s="98"/>
      <c r="E38" s="98"/>
      <c r="F38" s="98"/>
      <c r="G38" s="100"/>
    </row>
    <row r="39" spans="1:12" x14ac:dyDescent="0.25">
      <c r="A39" s="91"/>
      <c r="B39" s="91"/>
      <c r="C39" s="91"/>
      <c r="D39" s="91"/>
      <c r="E39" s="91"/>
      <c r="F39" s="91"/>
      <c r="G39" s="92"/>
    </row>
    <row r="40" spans="1:12" x14ac:dyDescent="0.25">
      <c r="A40" s="96"/>
      <c r="B40" s="96"/>
      <c r="C40" s="96"/>
      <c r="D40" s="96"/>
      <c r="E40" s="96"/>
      <c r="F40" s="96"/>
      <c r="G40" s="97"/>
    </row>
    <row r="41" spans="1:12" x14ac:dyDescent="0.25">
      <c r="A41" s="98"/>
      <c r="B41" s="98"/>
      <c r="C41" s="98"/>
      <c r="D41" s="98"/>
      <c r="E41" s="98"/>
      <c r="F41" s="98"/>
      <c r="G41" s="100"/>
    </row>
    <row r="42" spans="1:12" x14ac:dyDescent="0.25">
      <c r="G42" s="106"/>
    </row>
    <row r="43" spans="1:12" x14ac:dyDescent="0.25">
      <c r="A43" s="98"/>
      <c r="B43" s="98"/>
      <c r="C43" s="98"/>
      <c r="D43" s="98"/>
      <c r="E43" s="98"/>
      <c r="F43" s="98"/>
      <c r="G43" s="100"/>
    </row>
    <row r="44" spans="1:12" x14ac:dyDescent="0.25">
      <c r="G44" s="107"/>
    </row>
    <row r="45" spans="1:12" ht="15.75" x14ac:dyDescent="0.25">
      <c r="A45" s="75"/>
    </row>
    <row r="46" spans="1:12" x14ac:dyDescent="0.25">
      <c r="A46" s="91"/>
      <c r="B46" s="104"/>
      <c r="C46" s="108"/>
      <c r="D46" s="108"/>
      <c r="E46" s="108"/>
      <c r="F46" s="98"/>
      <c r="G46" s="106"/>
      <c r="J46" s="106"/>
      <c r="K46" s="106"/>
      <c r="L46" s="100"/>
    </row>
    <row r="47" spans="1:12" x14ac:dyDescent="0.25">
      <c r="A47" s="91"/>
      <c r="B47" s="91"/>
      <c r="C47" s="91"/>
      <c r="D47" s="91"/>
      <c r="E47" s="91"/>
      <c r="F47" s="91"/>
      <c r="G47" s="92"/>
      <c r="J47" s="92"/>
      <c r="K47" s="92"/>
      <c r="L47" s="92"/>
    </row>
    <row r="48" spans="1:12" x14ac:dyDescent="0.25">
      <c r="A48" s="91"/>
      <c r="B48" s="91"/>
      <c r="C48" s="91"/>
      <c r="D48" s="91"/>
      <c r="E48" s="91"/>
      <c r="F48" s="91"/>
      <c r="G48" s="92"/>
      <c r="J48" s="92"/>
      <c r="K48" s="92"/>
      <c r="L48" s="92"/>
    </row>
    <row r="49" spans="1:12" x14ac:dyDescent="0.25">
      <c r="A49" s="98"/>
      <c r="B49" s="98"/>
      <c r="C49" s="98"/>
      <c r="D49" s="98"/>
      <c r="E49" s="98"/>
      <c r="F49" s="98"/>
      <c r="G49" s="100"/>
      <c r="J49" s="100"/>
      <c r="K49" s="80"/>
      <c r="L49" s="100"/>
    </row>
    <row r="50" spans="1:12" x14ac:dyDescent="0.25">
      <c r="G50" s="107"/>
    </row>
    <row r="52" spans="1:12" ht="15.75" x14ac:dyDescent="0.25">
      <c r="A52" s="75"/>
    </row>
    <row r="53" spans="1:12" x14ac:dyDescent="0.25">
      <c r="A53" s="109"/>
      <c r="B53" s="87"/>
      <c r="C53" s="87"/>
      <c r="D53" s="87"/>
      <c r="E53" s="87"/>
      <c r="F53" s="87"/>
      <c r="G53" s="110"/>
    </row>
    <row r="54" spans="1:12" x14ac:dyDescent="0.25">
      <c r="A54" s="111"/>
      <c r="G54" s="19"/>
    </row>
    <row r="55" spans="1:12" x14ac:dyDescent="0.25">
      <c r="A55" s="111"/>
      <c r="G55" s="19"/>
    </row>
    <row r="56" spans="1:12" x14ac:dyDescent="0.25">
      <c r="A56" s="111"/>
      <c r="G56" s="19"/>
      <c r="I56" s="96"/>
    </row>
    <row r="57" spans="1:12" x14ac:dyDescent="0.25">
      <c r="A57" s="112"/>
      <c r="B57" s="98"/>
      <c r="C57" s="98"/>
      <c r="D57" s="98"/>
      <c r="E57" s="98"/>
      <c r="F57" s="98"/>
      <c r="G57" s="113"/>
    </row>
    <row r="58" spans="1:12" x14ac:dyDescent="0.25">
      <c r="A58" s="109"/>
      <c r="B58" s="87"/>
      <c r="C58" s="87"/>
      <c r="D58" s="87"/>
      <c r="E58" s="87"/>
      <c r="F58" s="87"/>
      <c r="G58" s="110"/>
    </row>
    <row r="59" spans="1:12" x14ac:dyDescent="0.25">
      <c r="A59" s="111"/>
      <c r="G59" s="19"/>
    </row>
    <row r="60" spans="1:12" x14ac:dyDescent="0.25">
      <c r="A60" s="111"/>
      <c r="G60" s="19"/>
    </row>
    <row r="61" spans="1:12" x14ac:dyDescent="0.25">
      <c r="A61" s="112"/>
      <c r="B61" s="98"/>
      <c r="C61" s="98"/>
      <c r="D61" s="98"/>
      <c r="E61" s="98"/>
      <c r="F61" s="98"/>
      <c r="G61" s="113"/>
    </row>
    <row r="62" spans="1:12" x14ac:dyDescent="0.25">
      <c r="A62" s="109"/>
      <c r="B62" s="87"/>
      <c r="C62" s="87"/>
      <c r="D62" s="87"/>
      <c r="E62" s="87"/>
      <c r="F62" s="87"/>
      <c r="G62" s="110"/>
    </row>
    <row r="63" spans="1:12" x14ac:dyDescent="0.25">
      <c r="A63" s="111"/>
      <c r="G63" s="19"/>
    </row>
    <row r="64" spans="1:12" x14ac:dyDescent="0.25">
      <c r="A64" s="111"/>
      <c r="C64" s="19"/>
      <c r="D64" s="19"/>
      <c r="E64" s="19"/>
      <c r="F64" s="19"/>
      <c r="G64" s="19"/>
    </row>
    <row r="65" spans="1:7" x14ac:dyDescent="0.25">
      <c r="A65" s="112"/>
      <c r="B65" s="98"/>
      <c r="C65" s="98"/>
      <c r="D65" s="98"/>
      <c r="E65" s="98"/>
      <c r="F65" s="98"/>
      <c r="G65" s="113"/>
    </row>
    <row r="66" spans="1:7" x14ac:dyDescent="0.25">
      <c r="A66" s="109"/>
      <c r="B66" s="87"/>
      <c r="C66" s="87"/>
      <c r="D66" s="87"/>
      <c r="E66" s="87"/>
      <c r="F66" s="87"/>
      <c r="G66" s="110"/>
    </row>
    <row r="67" spans="1:7" x14ac:dyDescent="0.25">
      <c r="A67" s="111"/>
      <c r="C67" s="19"/>
      <c r="G67" s="19"/>
    </row>
    <row r="68" spans="1:7" x14ac:dyDescent="0.25">
      <c r="A68" s="112"/>
      <c r="B68" s="98"/>
      <c r="C68" s="98"/>
      <c r="D68" s="98"/>
      <c r="E68" s="98"/>
      <c r="F68" s="98"/>
      <c r="G68" s="113"/>
    </row>
    <row r="69" spans="1:7" x14ac:dyDescent="0.25">
      <c r="A69" s="111"/>
      <c r="G69" s="19"/>
    </row>
    <row r="70" spans="1:7" x14ac:dyDescent="0.25">
      <c r="A70" s="111"/>
      <c r="G70" s="19"/>
    </row>
    <row r="71" spans="1:7" x14ac:dyDescent="0.25">
      <c r="A71" s="112"/>
      <c r="B71" s="98"/>
      <c r="C71" s="98"/>
      <c r="D71" s="98"/>
      <c r="E71" s="98"/>
      <c r="F71" s="98"/>
      <c r="G71" s="113"/>
    </row>
    <row r="72" spans="1:7" x14ac:dyDescent="0.25">
      <c r="A72" s="109"/>
      <c r="B72" s="87"/>
      <c r="C72" s="87"/>
      <c r="D72" s="87"/>
      <c r="E72" s="87"/>
      <c r="F72" s="87"/>
      <c r="G72" s="110"/>
    </row>
    <row r="73" spans="1:7" x14ac:dyDescent="0.25">
      <c r="A73" s="111"/>
      <c r="G73" s="19"/>
    </row>
    <row r="74" spans="1:7" x14ac:dyDescent="0.25">
      <c r="A74" s="111"/>
      <c r="G74" s="19"/>
    </row>
    <row r="75" spans="1:7" x14ac:dyDescent="0.25">
      <c r="A75" s="112"/>
      <c r="B75" s="98"/>
      <c r="C75" s="98"/>
      <c r="D75" s="98"/>
      <c r="E75" s="98"/>
      <c r="F75" s="98"/>
      <c r="G75" s="113"/>
    </row>
    <row r="76" spans="1:7" x14ac:dyDescent="0.25">
      <c r="A76" s="109"/>
      <c r="B76" s="87"/>
      <c r="C76" s="87"/>
      <c r="D76" s="87"/>
      <c r="E76" s="87"/>
      <c r="F76" s="87"/>
      <c r="G76" s="110"/>
    </row>
    <row r="77" spans="1:7" x14ac:dyDescent="0.25">
      <c r="A77" s="111"/>
      <c r="G77" s="19"/>
    </row>
    <row r="78" spans="1:7" x14ac:dyDescent="0.25">
      <c r="A78" s="109"/>
      <c r="B78" s="87"/>
      <c r="C78" s="87"/>
      <c r="D78" s="87"/>
      <c r="E78" s="87"/>
      <c r="F78" s="87"/>
      <c r="G78" s="110"/>
    </row>
    <row r="79" spans="1:7" x14ac:dyDescent="0.25">
      <c r="A79" s="111"/>
      <c r="G79" s="19"/>
    </row>
    <row r="80" spans="1:7" x14ac:dyDescent="0.25">
      <c r="A80" s="111"/>
      <c r="G80" s="19"/>
    </row>
    <row r="81" spans="1:7" x14ac:dyDescent="0.25">
      <c r="A81" s="109"/>
      <c r="B81" s="87"/>
      <c r="C81" s="87"/>
      <c r="D81" s="87"/>
      <c r="E81" s="87"/>
      <c r="F81" s="87"/>
      <c r="G81" s="110"/>
    </row>
    <row r="82" spans="1:7" x14ac:dyDescent="0.25">
      <c r="A82" s="109"/>
      <c r="B82" s="87"/>
      <c r="C82" s="87"/>
      <c r="D82" s="87"/>
      <c r="E82" s="87"/>
      <c r="F82" s="87"/>
      <c r="G82" s="110"/>
    </row>
    <row r="83" spans="1:7" x14ac:dyDescent="0.25">
      <c r="A83" s="111"/>
      <c r="G83" s="19"/>
    </row>
    <row r="84" spans="1:7" x14ac:dyDescent="0.25">
      <c r="A84" s="111"/>
      <c r="G84" s="19"/>
    </row>
    <row r="85" spans="1:7" x14ac:dyDescent="0.25">
      <c r="A85" s="109"/>
      <c r="B85" s="87"/>
      <c r="C85" s="87"/>
      <c r="D85" s="87"/>
      <c r="E85" s="87"/>
      <c r="F85" s="87"/>
      <c r="G85" s="110"/>
    </row>
    <row r="86" spans="1:7" x14ac:dyDescent="0.25">
      <c r="A86" s="111"/>
      <c r="G86" s="19"/>
    </row>
    <row r="87" spans="1:7" x14ac:dyDescent="0.25">
      <c r="A87" s="111"/>
      <c r="G87" s="19"/>
    </row>
    <row r="88" spans="1:7" x14ac:dyDescent="0.25">
      <c r="A88" s="111"/>
      <c r="G88" s="19"/>
    </row>
    <row r="89" spans="1:7" x14ac:dyDescent="0.25">
      <c r="A89" s="111"/>
      <c r="G89" s="19"/>
    </row>
    <row r="90" spans="1:7" x14ac:dyDescent="0.25">
      <c r="A90" s="112"/>
      <c r="B90" s="98"/>
      <c r="C90" s="98"/>
      <c r="D90" s="98"/>
      <c r="E90" s="98"/>
      <c r="F90" s="98"/>
      <c r="G90" s="113"/>
    </row>
    <row r="91" spans="1:7" x14ac:dyDescent="0.25">
      <c r="A91" s="109"/>
      <c r="B91" s="87"/>
      <c r="C91" s="87"/>
      <c r="D91" s="87"/>
      <c r="E91" s="87"/>
      <c r="F91" s="87"/>
      <c r="G91" s="110"/>
    </row>
    <row r="92" spans="1:7" x14ac:dyDescent="0.25">
      <c r="A92" s="109"/>
      <c r="B92" s="87"/>
      <c r="C92" s="87"/>
      <c r="D92" s="87"/>
      <c r="E92" s="87"/>
      <c r="F92" s="87"/>
      <c r="G92" s="110"/>
    </row>
    <row r="93" spans="1:7" x14ac:dyDescent="0.25">
      <c r="A93" s="111"/>
      <c r="G93" s="19"/>
    </row>
    <row r="94" spans="1:7" x14ac:dyDescent="0.25">
      <c r="A94" s="112"/>
      <c r="B94" s="98"/>
      <c r="C94" s="98"/>
      <c r="D94" s="98"/>
      <c r="E94" s="98"/>
      <c r="F94" s="98"/>
      <c r="G94" s="113"/>
    </row>
    <row r="95" spans="1:7" x14ac:dyDescent="0.25">
      <c r="A95" s="112"/>
      <c r="B95" s="98"/>
      <c r="C95" s="98"/>
      <c r="D95" s="98"/>
      <c r="E95" s="98"/>
      <c r="F95" s="98"/>
      <c r="G95" s="113"/>
    </row>
    <row r="96" spans="1:7" x14ac:dyDescent="0.25">
      <c r="A96" s="111"/>
      <c r="G96" s="19"/>
    </row>
    <row r="97" spans="1:16" x14ac:dyDescent="0.25">
      <c r="A97" s="111"/>
      <c r="G97" s="19"/>
    </row>
    <row r="98" spans="1:16" x14ac:dyDescent="0.25">
      <c r="A98" s="112"/>
      <c r="B98" s="98"/>
      <c r="C98" s="98"/>
      <c r="D98" s="98"/>
      <c r="E98" s="98"/>
      <c r="F98" s="98"/>
      <c r="G98" s="113"/>
    </row>
    <row r="99" spans="1:16" x14ac:dyDescent="0.25">
      <c r="A99" s="112"/>
      <c r="B99" s="98"/>
      <c r="C99" s="98"/>
      <c r="D99" s="98"/>
      <c r="E99" s="98"/>
      <c r="F99" s="98"/>
      <c r="G99" s="113"/>
    </row>
    <row r="100" spans="1:16" x14ac:dyDescent="0.25">
      <c r="A100" s="109"/>
      <c r="B100" s="87"/>
      <c r="C100" s="87"/>
      <c r="D100" s="87"/>
      <c r="E100" s="87"/>
      <c r="F100" s="87"/>
      <c r="G100" s="110"/>
    </row>
    <row r="101" spans="1:16" x14ac:dyDescent="0.25">
      <c r="A101" s="112"/>
      <c r="B101" s="98"/>
      <c r="C101" s="98"/>
      <c r="D101" s="98"/>
      <c r="E101" s="98"/>
      <c r="F101" s="98"/>
      <c r="G101" s="113"/>
    </row>
    <row r="102" spans="1:16" x14ac:dyDescent="0.25">
      <c r="A102" s="109"/>
      <c r="B102" s="87"/>
      <c r="C102" s="87"/>
      <c r="D102" s="87"/>
      <c r="E102" s="87"/>
      <c r="F102" s="87"/>
      <c r="G102" s="110"/>
    </row>
    <row r="103" spans="1:16" x14ac:dyDescent="0.25">
      <c r="G103" s="107"/>
    </row>
    <row r="105" spans="1:16" ht="15.75" x14ac:dyDescent="0.25">
      <c r="A105" s="75"/>
    </row>
    <row r="106" spans="1:16" x14ac:dyDescent="0.25">
      <c r="A106" s="111"/>
      <c r="G106" s="19"/>
      <c r="K106" s="19"/>
      <c r="L106" s="19"/>
      <c r="M106" s="114"/>
      <c r="O106" s="19"/>
      <c r="P106" s="19"/>
    </row>
    <row r="107" spans="1:16" x14ac:dyDescent="0.25">
      <c r="A107" s="111"/>
      <c r="G107" s="19"/>
      <c r="K107" s="19"/>
      <c r="L107" s="115"/>
      <c r="M107" s="116"/>
      <c r="O107" s="19"/>
      <c r="P107" s="19"/>
    </row>
    <row r="108" spans="1:16" x14ac:dyDescent="0.25">
      <c r="A108" s="112"/>
      <c r="B108" s="98"/>
      <c r="C108" s="98"/>
      <c r="D108" s="98"/>
      <c r="E108" s="98"/>
      <c r="F108" s="98"/>
      <c r="G108" s="113"/>
      <c r="J108" s="98"/>
      <c r="K108" s="113"/>
      <c r="L108" s="100"/>
      <c r="M108" s="117"/>
      <c r="O108" s="19"/>
      <c r="P108" s="113"/>
    </row>
    <row r="109" spans="1:16" x14ac:dyDescent="0.25">
      <c r="A109" s="111"/>
      <c r="G109" s="19"/>
      <c r="K109" s="19"/>
      <c r="L109" s="115"/>
      <c r="M109" s="116"/>
      <c r="O109" s="19"/>
      <c r="P109" s="19"/>
    </row>
    <row r="110" spans="1:16" x14ac:dyDescent="0.25">
      <c r="A110" s="111"/>
      <c r="G110" s="19"/>
      <c r="K110" s="19"/>
      <c r="L110" s="115"/>
      <c r="M110" s="116"/>
      <c r="O110" s="19"/>
      <c r="P110" s="19"/>
    </row>
    <row r="111" spans="1:16" x14ac:dyDescent="0.25">
      <c r="A111" s="109"/>
      <c r="B111" s="87"/>
      <c r="C111" s="87"/>
      <c r="D111" s="87"/>
      <c r="E111" s="87"/>
      <c r="F111" s="87"/>
      <c r="G111" s="110"/>
      <c r="J111" s="87"/>
      <c r="K111" s="110"/>
      <c r="L111" s="88"/>
      <c r="M111" s="118"/>
      <c r="O111" s="110"/>
      <c r="P111" s="110"/>
    </row>
    <row r="112" spans="1:16" x14ac:dyDescent="0.25">
      <c r="A112" s="109"/>
      <c r="B112" s="87"/>
      <c r="C112" s="87"/>
      <c r="D112" s="87"/>
      <c r="E112" s="87"/>
      <c r="F112" s="87"/>
      <c r="G112" s="110"/>
      <c r="J112" s="87"/>
      <c r="K112" s="110"/>
      <c r="L112" s="88"/>
      <c r="M112" s="119"/>
      <c r="O112" s="110"/>
      <c r="P112" s="110"/>
    </row>
    <row r="113" spans="1:16" x14ac:dyDescent="0.25">
      <c r="A113" s="111"/>
      <c r="G113" s="19"/>
      <c r="K113" s="19"/>
      <c r="L113" s="115"/>
      <c r="M113" s="116"/>
      <c r="O113" s="19"/>
      <c r="P113" s="19"/>
    </row>
    <row r="114" spans="1:16" x14ac:dyDescent="0.25">
      <c r="A114" s="111"/>
      <c r="G114" s="19"/>
      <c r="K114" s="19"/>
      <c r="L114" s="115"/>
      <c r="M114" s="116"/>
      <c r="O114" s="19"/>
      <c r="P114" s="19"/>
    </row>
    <row r="115" spans="1:16" x14ac:dyDescent="0.25">
      <c r="A115" s="111"/>
      <c r="G115" s="120"/>
      <c r="K115" s="19"/>
      <c r="L115" s="121"/>
      <c r="M115" s="122"/>
      <c r="O115" s="19"/>
      <c r="P115" s="19"/>
    </row>
    <row r="116" spans="1:16" x14ac:dyDescent="0.25">
      <c r="A116" s="111"/>
      <c r="G116" s="19"/>
      <c r="K116" s="19"/>
      <c r="L116" s="115"/>
      <c r="M116" s="116"/>
      <c r="O116" s="19"/>
      <c r="P116" s="19"/>
    </row>
    <row r="117" spans="1:16" x14ac:dyDescent="0.25">
      <c r="A117" s="111"/>
      <c r="G117" s="19"/>
      <c r="K117" s="19"/>
      <c r="L117" s="19"/>
      <c r="M117" s="114"/>
      <c r="O117" s="19"/>
      <c r="P117" s="19"/>
    </row>
    <row r="118" spans="1:16" x14ac:dyDescent="0.25">
      <c r="A118" s="109"/>
      <c r="B118" s="87"/>
      <c r="C118" s="87"/>
      <c r="D118" s="87"/>
      <c r="E118" s="87"/>
      <c r="F118" s="87"/>
      <c r="G118" s="110"/>
      <c r="J118" s="87"/>
      <c r="K118" s="110"/>
      <c r="L118" s="110"/>
      <c r="M118" s="118"/>
      <c r="O118" s="110"/>
      <c r="P118" s="110"/>
    </row>
    <row r="119" spans="1:16" x14ac:dyDescent="0.25">
      <c r="A119" s="111"/>
      <c r="G119" s="19"/>
      <c r="K119" s="19"/>
      <c r="L119" s="19"/>
      <c r="M119" s="114"/>
      <c r="O119" s="19"/>
      <c r="P119" s="19"/>
    </row>
    <row r="120" spans="1:16" x14ac:dyDescent="0.25">
      <c r="A120" s="111"/>
      <c r="G120" s="19"/>
      <c r="K120" s="19"/>
      <c r="L120" s="115"/>
      <c r="M120" s="116"/>
      <c r="O120" s="19"/>
      <c r="P120" s="19"/>
    </row>
    <row r="121" spans="1:16" x14ac:dyDescent="0.25">
      <c r="A121" s="111"/>
      <c r="G121" s="19"/>
      <c r="K121" s="19"/>
      <c r="L121" s="115"/>
      <c r="M121" s="116"/>
      <c r="O121" s="19"/>
      <c r="P121" s="19"/>
    </row>
    <row r="122" spans="1:16" x14ac:dyDescent="0.25">
      <c r="A122" s="111"/>
      <c r="G122" s="19"/>
      <c r="K122" s="19"/>
      <c r="L122" s="121"/>
      <c r="M122" s="116"/>
      <c r="O122" s="19"/>
      <c r="P122" s="19"/>
    </row>
    <row r="123" spans="1:16" x14ac:dyDescent="0.25">
      <c r="A123" s="111"/>
      <c r="G123" s="19"/>
      <c r="K123" s="19"/>
      <c r="L123" s="115"/>
      <c r="M123" s="116"/>
      <c r="O123" s="19"/>
      <c r="P123" s="19"/>
    </row>
    <row r="124" spans="1:16" x14ac:dyDescent="0.25">
      <c r="A124" s="111"/>
      <c r="G124" s="19"/>
      <c r="K124" s="19"/>
      <c r="L124" s="121"/>
      <c r="M124" s="122"/>
      <c r="O124" s="19"/>
      <c r="P124" s="19"/>
    </row>
    <row r="125" spans="1:16" x14ac:dyDescent="0.25">
      <c r="A125" s="111"/>
      <c r="G125" s="19"/>
      <c r="K125" s="19"/>
      <c r="L125" s="121"/>
      <c r="M125" s="116"/>
      <c r="O125" s="19"/>
      <c r="P125" s="19"/>
    </row>
    <row r="126" spans="1:16" x14ac:dyDescent="0.25">
      <c r="G126" s="123"/>
    </row>
  </sheetData>
  <mergeCells count="1">
    <mergeCell ref="A2:C2"/>
  </mergeCells>
  <dataValidations count="3">
    <dataValidation type="list" allowBlank="1" showInputMessage="1" showErrorMessage="1" sqref="F54:F85 F100 F98 F106:F115 F117" xr:uid="{70FE0348-9EAE-4593-A787-0826BDC1604C}">
      <formula1>"Seed, Early Stage, Late Stage, Growth Equity"</formula1>
    </dataValidation>
    <dataValidation type="list" allowBlank="1" showInputMessage="1" showErrorMessage="1" sqref="E53:E101 E106:E125" xr:uid="{E656C3D4-C92D-4748-9E71-CE6BB945BC5D}">
      <formula1>"ICT, Life Sciences, ECT, Diversified Sectors"</formula1>
    </dataValidation>
    <dataValidation type="list" allowBlank="1" showInputMessage="1" showErrorMessage="1" sqref="B54:B102 B106:B125" xr:uid="{5E9D71C7-7A1A-49E9-9C5B-D5C44AD1DD1F}">
      <formula1>$A$1:$A$5</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0BEBB-72BC-40C4-9CA9-62B00056172B}">
  <sheetPr codeName="Sheet6"/>
  <dimension ref="A1:H85"/>
  <sheetViews>
    <sheetView zoomScaleNormal="100" workbookViewId="0">
      <selection activeCell="E19" sqref="E19"/>
    </sheetView>
  </sheetViews>
  <sheetFormatPr defaultColWidth="8.7109375" defaultRowHeight="15" x14ac:dyDescent="0.25"/>
  <cols>
    <col min="1" max="1" width="30.140625" style="77" bestFit="1" customWidth="1"/>
    <col min="2" max="2" width="20.42578125" style="77" bestFit="1" customWidth="1"/>
    <col min="3" max="3" width="27.85546875" style="77" bestFit="1" customWidth="1"/>
    <col min="4" max="4" width="29.5703125" style="77" bestFit="1" customWidth="1"/>
    <col min="5" max="5" width="36.140625" style="77" bestFit="1" customWidth="1"/>
    <col min="6" max="6" width="14" style="77" customWidth="1"/>
    <col min="7" max="7" width="19.5703125" style="77" customWidth="1"/>
    <col min="8" max="8" width="13.28515625" style="77" customWidth="1"/>
    <col min="9" max="9" width="8.7109375" style="77"/>
    <col min="10" max="10" width="13.7109375" style="77" customWidth="1"/>
    <col min="11" max="11" width="11.5703125" style="77" customWidth="1"/>
    <col min="12" max="16384" width="8.7109375" style="77"/>
  </cols>
  <sheetData>
    <row r="1" spans="1:7" ht="20.100000000000001" customHeight="1" x14ac:dyDescent="0.25">
      <c r="A1" s="75" t="s">
        <v>221</v>
      </c>
      <c r="B1" s="75"/>
      <c r="C1" s="75"/>
      <c r="D1" s="75"/>
      <c r="E1" s="75"/>
    </row>
    <row r="2" spans="1:7" ht="55.5" customHeight="1" x14ac:dyDescent="0.25">
      <c r="A2" s="243" t="s">
        <v>107</v>
      </c>
      <c r="B2" s="243"/>
      <c r="C2" s="243"/>
      <c r="D2" s="243"/>
      <c r="E2" s="243"/>
    </row>
    <row r="3" spans="1:7" ht="15" customHeight="1" x14ac:dyDescent="0.25">
      <c r="A3" s="174"/>
      <c r="B3" s="174"/>
      <c r="C3" s="174"/>
      <c r="D3" s="174"/>
      <c r="E3" s="174"/>
    </row>
    <row r="4" spans="1:7" ht="31.5" x14ac:dyDescent="0.25">
      <c r="A4" s="209" t="s">
        <v>110</v>
      </c>
      <c r="B4" s="138" t="s">
        <v>108</v>
      </c>
      <c r="C4" s="138" t="s">
        <v>109</v>
      </c>
      <c r="D4" s="138" t="s">
        <v>138</v>
      </c>
      <c r="E4" s="139" t="s">
        <v>79</v>
      </c>
    </row>
    <row r="5" spans="1:7" ht="15.75" x14ac:dyDescent="0.25">
      <c r="A5" s="83" t="s">
        <v>111</v>
      </c>
      <c r="B5" s="160">
        <v>10</v>
      </c>
      <c r="C5" s="215">
        <v>0.24390243902439024</v>
      </c>
      <c r="D5" s="216">
        <v>142.80000000000001</v>
      </c>
      <c r="E5" s="217">
        <v>0.17380720545277509</v>
      </c>
    </row>
    <row r="6" spans="1:7" ht="15.75" x14ac:dyDescent="0.25">
      <c r="A6" s="83" t="s">
        <v>17</v>
      </c>
      <c r="B6" s="160">
        <v>0</v>
      </c>
      <c r="C6" s="215">
        <v>0</v>
      </c>
      <c r="D6" s="216">
        <v>0</v>
      </c>
      <c r="E6" s="217">
        <v>0</v>
      </c>
      <c r="F6" s="77" t="s">
        <v>14</v>
      </c>
      <c r="G6" s="77" t="s">
        <v>14</v>
      </c>
    </row>
    <row r="7" spans="1:7" ht="15.75" x14ac:dyDescent="0.25">
      <c r="A7" s="83" t="s">
        <v>18</v>
      </c>
      <c r="B7" s="160">
        <v>0</v>
      </c>
      <c r="C7" s="215">
        <v>0</v>
      </c>
      <c r="D7" s="216">
        <v>0</v>
      </c>
      <c r="E7" s="217">
        <v>0</v>
      </c>
    </row>
    <row r="8" spans="1:7" ht="15.75" x14ac:dyDescent="0.25">
      <c r="A8" s="83" t="s">
        <v>19</v>
      </c>
      <c r="B8" s="160">
        <v>0</v>
      </c>
      <c r="C8" s="215">
        <v>0</v>
      </c>
      <c r="D8" s="216">
        <v>0</v>
      </c>
      <c r="E8" s="217">
        <v>0</v>
      </c>
    </row>
    <row r="9" spans="1:7" ht="15.75" x14ac:dyDescent="0.25">
      <c r="A9" s="83" t="s">
        <v>16</v>
      </c>
      <c r="B9" s="160">
        <v>22</v>
      </c>
      <c r="C9" s="215">
        <v>0.53658536585365857</v>
      </c>
      <c r="D9" s="216">
        <v>459.2</v>
      </c>
      <c r="E9" s="217">
        <v>0.5589094449853943</v>
      </c>
    </row>
    <row r="10" spans="1:7" ht="15.75" x14ac:dyDescent="0.25">
      <c r="A10" s="83" t="s">
        <v>115</v>
      </c>
      <c r="B10" s="160">
        <v>9</v>
      </c>
      <c r="C10" s="215">
        <v>0.21951219512195122</v>
      </c>
      <c r="D10" s="216">
        <v>219.6</v>
      </c>
      <c r="E10" s="217">
        <v>0.26728334956183059</v>
      </c>
    </row>
    <row r="11" spans="1:7" ht="15.75" x14ac:dyDescent="0.25">
      <c r="A11" s="83" t="s">
        <v>112</v>
      </c>
      <c r="B11" s="160">
        <v>0</v>
      </c>
      <c r="C11" s="215">
        <v>0</v>
      </c>
      <c r="D11" s="216">
        <v>0</v>
      </c>
      <c r="E11" s="217">
        <v>0</v>
      </c>
    </row>
    <row r="12" spans="1:7" ht="15.75" x14ac:dyDescent="0.25">
      <c r="A12" s="83" t="s">
        <v>114</v>
      </c>
      <c r="B12" s="160">
        <v>0</v>
      </c>
      <c r="C12" s="215">
        <v>0</v>
      </c>
      <c r="D12" s="216">
        <v>0</v>
      </c>
      <c r="E12" s="217">
        <v>0</v>
      </c>
    </row>
    <row r="13" spans="1:7" ht="15.75" x14ac:dyDescent="0.25">
      <c r="A13" s="83" t="s">
        <v>113</v>
      </c>
      <c r="B13" s="160">
        <v>0</v>
      </c>
      <c r="C13" s="215">
        <v>0</v>
      </c>
      <c r="D13" s="216">
        <v>0</v>
      </c>
      <c r="E13" s="217">
        <v>0</v>
      </c>
    </row>
    <row r="14" spans="1:7" ht="15.75" x14ac:dyDescent="0.25">
      <c r="A14" s="64" t="s">
        <v>0</v>
      </c>
      <c r="B14" s="163">
        <v>41</v>
      </c>
      <c r="C14" s="218">
        <v>1</v>
      </c>
      <c r="D14" s="219">
        <f>SUM(D5:D13)</f>
        <v>821.6</v>
      </c>
      <c r="E14" s="220">
        <v>1</v>
      </c>
    </row>
    <row r="15" spans="1:7" x14ac:dyDescent="0.25">
      <c r="A15" s="124"/>
    </row>
    <row r="16" spans="1:7" x14ac:dyDescent="0.25">
      <c r="A16" s="84"/>
    </row>
    <row r="17" spans="1:8" x14ac:dyDescent="0.25">
      <c r="A17" s="125"/>
    </row>
    <row r="19" spans="1:8" ht="15.75" x14ac:dyDescent="0.25">
      <c r="A19" s="75"/>
      <c r="B19" s="87"/>
    </row>
    <row r="20" spans="1:8" x14ac:dyDescent="0.25">
      <c r="A20" s="109"/>
      <c r="C20" s="87"/>
      <c r="D20" s="87"/>
      <c r="E20" s="87"/>
      <c r="F20" s="87"/>
      <c r="G20" s="87"/>
      <c r="H20" s="110"/>
    </row>
    <row r="21" spans="1:8" x14ac:dyDescent="0.25">
      <c r="A21" s="111"/>
      <c r="E21" s="77" t="s">
        <v>14</v>
      </c>
      <c r="G21" s="126"/>
      <c r="H21" s="19"/>
    </row>
    <row r="22" spans="1:8" x14ac:dyDescent="0.25">
      <c r="A22" s="111"/>
      <c r="G22" s="126"/>
      <c r="H22" s="19"/>
    </row>
    <row r="23" spans="1:8" x14ac:dyDescent="0.25">
      <c r="A23" s="112"/>
      <c r="B23" s="98"/>
      <c r="C23" s="98"/>
      <c r="D23" s="98"/>
      <c r="E23" s="98"/>
      <c r="F23" s="98"/>
      <c r="G23" s="126"/>
      <c r="H23" s="113"/>
    </row>
    <row r="24" spans="1:8" x14ac:dyDescent="0.25">
      <c r="A24" s="109"/>
      <c r="B24" s="87"/>
      <c r="C24" s="87"/>
      <c r="D24" s="87"/>
      <c r="E24" s="87"/>
      <c r="F24" s="87"/>
      <c r="G24" s="126"/>
      <c r="H24" s="110"/>
    </row>
    <row r="25" spans="1:8" x14ac:dyDescent="0.25">
      <c r="A25" s="111"/>
      <c r="G25" s="126"/>
      <c r="H25" s="19"/>
    </row>
    <row r="26" spans="1:8" x14ac:dyDescent="0.25">
      <c r="A26" s="111"/>
      <c r="G26" s="126"/>
      <c r="H26" s="19"/>
    </row>
    <row r="27" spans="1:8" x14ac:dyDescent="0.25">
      <c r="A27" s="112"/>
      <c r="B27" s="98"/>
      <c r="C27" s="98"/>
      <c r="D27" s="98"/>
      <c r="E27" s="98"/>
      <c r="F27" s="98"/>
      <c r="G27" s="126"/>
      <c r="H27" s="113"/>
    </row>
    <row r="28" spans="1:8" x14ac:dyDescent="0.25">
      <c r="A28" s="109"/>
      <c r="B28" s="87"/>
      <c r="C28" s="87"/>
      <c r="D28" s="87"/>
      <c r="E28" s="87"/>
      <c r="F28" s="87"/>
      <c r="G28" s="126"/>
      <c r="H28" s="110"/>
    </row>
    <row r="29" spans="1:8" x14ac:dyDescent="0.25">
      <c r="A29" s="111"/>
      <c r="G29" s="126"/>
      <c r="H29" s="19"/>
    </row>
    <row r="30" spans="1:8" x14ac:dyDescent="0.25">
      <c r="A30" s="111"/>
      <c r="D30" s="19"/>
      <c r="E30" s="19"/>
      <c r="F30" s="19"/>
      <c r="G30" s="126"/>
      <c r="H30" s="19"/>
    </row>
    <row r="31" spans="1:8" x14ac:dyDescent="0.25">
      <c r="A31" s="112"/>
      <c r="B31" s="98"/>
      <c r="C31" s="98"/>
      <c r="D31" s="98"/>
      <c r="E31" s="98"/>
      <c r="F31" s="98"/>
      <c r="G31" s="126"/>
      <c r="H31" s="113"/>
    </row>
    <row r="32" spans="1:8" x14ac:dyDescent="0.25">
      <c r="A32" s="109"/>
      <c r="B32" s="87"/>
      <c r="C32" s="87"/>
      <c r="D32" s="87"/>
      <c r="E32" s="87"/>
      <c r="F32" s="87"/>
      <c r="G32" s="126"/>
      <c r="H32" s="110"/>
    </row>
    <row r="33" spans="1:8" x14ac:dyDescent="0.25">
      <c r="A33" s="111"/>
      <c r="D33" s="19"/>
      <c r="G33" s="126"/>
      <c r="H33" s="19"/>
    </row>
    <row r="34" spans="1:8" x14ac:dyDescent="0.25">
      <c r="A34" s="112"/>
      <c r="B34" s="98"/>
      <c r="C34" s="98"/>
      <c r="D34" s="98"/>
      <c r="E34" s="98"/>
      <c r="F34" s="98"/>
      <c r="G34" s="126"/>
      <c r="H34" s="113"/>
    </row>
    <row r="35" spans="1:8" x14ac:dyDescent="0.25">
      <c r="A35" s="111"/>
      <c r="G35" s="126"/>
      <c r="H35" s="19"/>
    </row>
    <row r="36" spans="1:8" x14ac:dyDescent="0.25">
      <c r="A36" s="111"/>
      <c r="G36" s="126"/>
      <c r="H36" s="19"/>
    </row>
    <row r="37" spans="1:8" x14ac:dyDescent="0.25">
      <c r="A37" s="112"/>
      <c r="B37" s="98"/>
      <c r="C37" s="98"/>
      <c r="D37" s="98"/>
      <c r="E37" s="98"/>
      <c r="F37" s="98"/>
      <c r="G37" s="126"/>
      <c r="H37" s="113"/>
    </row>
    <row r="38" spans="1:8" x14ac:dyDescent="0.25">
      <c r="A38" s="109"/>
      <c r="B38" s="87"/>
      <c r="C38" s="87"/>
      <c r="D38" s="87"/>
      <c r="E38" s="87"/>
      <c r="F38" s="87"/>
      <c r="G38" s="126"/>
      <c r="H38" s="110"/>
    </row>
    <row r="39" spans="1:8" x14ac:dyDescent="0.25">
      <c r="A39" s="111"/>
      <c r="G39" s="126"/>
      <c r="H39" s="19"/>
    </row>
    <row r="40" spans="1:8" x14ac:dyDescent="0.25">
      <c r="A40" s="111"/>
      <c r="G40" s="126"/>
      <c r="H40" s="19"/>
    </row>
    <row r="41" spans="1:8" x14ac:dyDescent="0.25">
      <c r="A41" s="112"/>
      <c r="B41" s="98"/>
      <c r="C41" s="98"/>
      <c r="D41" s="98"/>
      <c r="E41" s="98"/>
      <c r="F41" s="98"/>
      <c r="G41" s="126"/>
      <c r="H41" s="113"/>
    </row>
    <row r="42" spans="1:8" x14ac:dyDescent="0.25">
      <c r="A42" s="109"/>
      <c r="B42" s="87"/>
      <c r="C42" s="87"/>
      <c r="D42" s="87"/>
      <c r="E42" s="87"/>
      <c r="F42" s="87"/>
      <c r="G42" s="126"/>
      <c r="H42" s="110"/>
    </row>
    <row r="43" spans="1:8" x14ac:dyDescent="0.25">
      <c r="A43" s="111"/>
      <c r="G43" s="126"/>
      <c r="H43" s="19"/>
    </row>
    <row r="44" spans="1:8" x14ac:dyDescent="0.25">
      <c r="A44" s="109"/>
      <c r="B44" s="87"/>
      <c r="C44" s="87"/>
      <c r="D44" s="87"/>
      <c r="E44" s="87"/>
      <c r="F44" s="87"/>
      <c r="G44" s="126"/>
      <c r="H44" s="110"/>
    </row>
    <row r="45" spans="1:8" x14ac:dyDescent="0.25">
      <c r="A45" s="111"/>
      <c r="G45" s="126"/>
      <c r="H45" s="19"/>
    </row>
    <row r="46" spans="1:8" x14ac:dyDescent="0.25">
      <c r="A46" s="111"/>
      <c r="G46" s="126"/>
      <c r="H46" s="19"/>
    </row>
    <row r="47" spans="1:8" x14ac:dyDescent="0.25">
      <c r="A47" s="109"/>
      <c r="B47" s="87"/>
      <c r="C47" s="87"/>
      <c r="D47" s="87"/>
      <c r="E47" s="87"/>
      <c r="F47" s="87"/>
      <c r="G47" s="126"/>
      <c r="H47" s="110"/>
    </row>
    <row r="48" spans="1:8" x14ac:dyDescent="0.25">
      <c r="A48" s="109"/>
      <c r="B48" s="87"/>
      <c r="C48" s="87"/>
      <c r="D48" s="87"/>
      <c r="E48" s="87"/>
      <c r="F48" s="87"/>
      <c r="G48" s="126"/>
      <c r="H48" s="110"/>
    </row>
    <row r="49" spans="1:8" x14ac:dyDescent="0.25">
      <c r="A49" s="111"/>
      <c r="G49" s="126"/>
      <c r="H49" s="19"/>
    </row>
    <row r="50" spans="1:8" x14ac:dyDescent="0.25">
      <c r="A50" s="111"/>
      <c r="G50" s="126"/>
      <c r="H50" s="19"/>
    </row>
    <row r="51" spans="1:8" x14ac:dyDescent="0.25">
      <c r="A51" s="109"/>
      <c r="B51" s="87"/>
      <c r="C51" s="87"/>
      <c r="D51" s="87"/>
      <c r="E51" s="87"/>
      <c r="F51" s="87"/>
      <c r="G51" s="126"/>
      <c r="H51" s="110"/>
    </row>
    <row r="52" spans="1:8" x14ac:dyDescent="0.25">
      <c r="A52" s="111"/>
      <c r="G52" s="126"/>
      <c r="H52" s="19"/>
    </row>
    <row r="53" spans="1:8" x14ac:dyDescent="0.25">
      <c r="A53" s="111"/>
      <c r="G53" s="126"/>
      <c r="H53" s="19"/>
    </row>
    <row r="54" spans="1:8" x14ac:dyDescent="0.25">
      <c r="A54" s="111"/>
      <c r="G54" s="126"/>
      <c r="H54" s="19"/>
    </row>
    <row r="55" spans="1:8" x14ac:dyDescent="0.25">
      <c r="A55" s="111"/>
      <c r="G55" s="126"/>
      <c r="H55" s="19"/>
    </row>
    <row r="56" spans="1:8" x14ac:dyDescent="0.25">
      <c r="A56" s="112"/>
      <c r="B56" s="98"/>
      <c r="C56" s="98"/>
      <c r="D56" s="98"/>
      <c r="E56" s="98"/>
      <c r="F56" s="98"/>
      <c r="G56" s="126"/>
      <c r="H56" s="113"/>
    </row>
    <row r="57" spans="1:8" x14ac:dyDescent="0.25">
      <c r="A57" s="109"/>
      <c r="B57" s="87"/>
      <c r="C57" s="87"/>
      <c r="D57" s="87"/>
      <c r="E57" s="87"/>
      <c r="F57" s="87"/>
      <c r="G57" s="126"/>
      <c r="H57" s="110"/>
    </row>
    <row r="58" spans="1:8" x14ac:dyDescent="0.25">
      <c r="A58" s="109"/>
      <c r="B58" s="87"/>
      <c r="C58" s="87"/>
      <c r="D58" s="87"/>
      <c r="E58" s="87"/>
      <c r="F58" s="87"/>
      <c r="G58" s="126"/>
      <c r="H58" s="110"/>
    </row>
    <row r="59" spans="1:8" x14ac:dyDescent="0.25">
      <c r="A59" s="111"/>
      <c r="G59" s="126"/>
      <c r="H59" s="19"/>
    </row>
    <row r="60" spans="1:8" x14ac:dyDescent="0.25">
      <c r="A60" s="112"/>
      <c r="B60" s="98"/>
      <c r="C60" s="98"/>
      <c r="D60" s="98"/>
      <c r="E60" s="98"/>
      <c r="F60" s="98"/>
      <c r="G60" s="126"/>
      <c r="H60" s="113"/>
    </row>
    <row r="61" spans="1:8" x14ac:dyDescent="0.25">
      <c r="A61" s="112"/>
      <c r="B61" s="98"/>
      <c r="C61" s="98"/>
      <c r="D61" s="98"/>
      <c r="E61" s="98"/>
      <c r="F61" s="98"/>
      <c r="G61" s="126"/>
      <c r="H61" s="113"/>
    </row>
    <row r="62" spans="1:8" x14ac:dyDescent="0.25">
      <c r="A62" s="111"/>
      <c r="G62" s="126"/>
      <c r="H62" s="19"/>
    </row>
    <row r="63" spans="1:8" x14ac:dyDescent="0.25">
      <c r="A63" s="111"/>
      <c r="G63" s="126"/>
      <c r="H63" s="19"/>
    </row>
    <row r="64" spans="1:8" x14ac:dyDescent="0.25">
      <c r="A64" s="112"/>
      <c r="B64" s="98"/>
      <c r="C64" s="98"/>
      <c r="D64" s="98"/>
      <c r="E64" s="98"/>
      <c r="F64" s="98"/>
      <c r="G64" s="126"/>
      <c r="H64" s="113"/>
    </row>
    <row r="65" spans="1:8" x14ac:dyDescent="0.25">
      <c r="A65" s="112"/>
      <c r="B65" s="98"/>
      <c r="C65" s="98"/>
      <c r="D65" s="98"/>
      <c r="E65" s="98"/>
      <c r="F65" s="98"/>
      <c r="G65" s="126"/>
      <c r="H65" s="113"/>
    </row>
    <row r="66" spans="1:8" x14ac:dyDescent="0.25">
      <c r="A66" s="109"/>
      <c r="B66" s="87"/>
      <c r="C66" s="87"/>
      <c r="D66" s="87"/>
      <c r="E66" s="87"/>
      <c r="F66" s="87"/>
      <c r="G66" s="126"/>
      <c r="H66" s="110"/>
    </row>
    <row r="67" spans="1:8" x14ac:dyDescent="0.25">
      <c r="A67" s="112"/>
      <c r="B67" s="98"/>
      <c r="C67" s="98"/>
      <c r="D67" s="98"/>
      <c r="E67" s="98"/>
      <c r="F67" s="98"/>
      <c r="G67" s="126"/>
      <c r="H67" s="113"/>
    </row>
    <row r="68" spans="1:8" x14ac:dyDescent="0.25">
      <c r="A68" s="109"/>
      <c r="B68" s="87"/>
      <c r="C68" s="87"/>
      <c r="D68" s="87"/>
      <c r="E68" s="87"/>
      <c r="F68" s="87"/>
      <c r="G68" s="126"/>
      <c r="H68" s="110"/>
    </row>
    <row r="69" spans="1:8" x14ac:dyDescent="0.25">
      <c r="A69" s="111"/>
      <c r="E69" s="98"/>
      <c r="G69" s="126"/>
      <c r="H69" s="127"/>
    </row>
    <row r="70" spans="1:8" x14ac:dyDescent="0.25">
      <c r="A70" s="111"/>
      <c r="E70" s="98"/>
      <c r="G70" s="128"/>
    </row>
    <row r="71" spans="1:8" x14ac:dyDescent="0.25">
      <c r="A71" s="111"/>
      <c r="E71" s="98"/>
      <c r="G71" s="128"/>
    </row>
    <row r="72" spans="1:8" x14ac:dyDescent="0.25">
      <c r="A72" s="111"/>
      <c r="E72" s="98"/>
      <c r="G72" s="128"/>
    </row>
    <row r="73" spans="1:8" x14ac:dyDescent="0.25">
      <c r="A73" s="112"/>
      <c r="B73" s="98"/>
      <c r="C73" s="98"/>
      <c r="D73" s="98"/>
      <c r="E73" s="98"/>
      <c r="G73" s="128"/>
    </row>
    <row r="74" spans="1:8" x14ac:dyDescent="0.25">
      <c r="A74" s="109"/>
      <c r="B74" s="87"/>
      <c r="C74" s="87"/>
      <c r="D74" s="87"/>
      <c r="E74" s="98"/>
      <c r="G74" s="128"/>
    </row>
    <row r="75" spans="1:8" x14ac:dyDescent="0.25">
      <c r="A75" s="109"/>
      <c r="B75" s="87"/>
      <c r="C75" s="87"/>
      <c r="D75" s="87"/>
      <c r="E75" s="98"/>
      <c r="G75" s="128"/>
    </row>
    <row r="76" spans="1:8" x14ac:dyDescent="0.25">
      <c r="A76" s="111"/>
      <c r="E76" s="98"/>
      <c r="G76" s="128"/>
    </row>
    <row r="77" spans="1:8" x14ac:dyDescent="0.25">
      <c r="A77" s="112"/>
      <c r="B77" s="98"/>
      <c r="C77" s="98"/>
      <c r="D77" s="98"/>
      <c r="E77" s="98"/>
      <c r="G77" s="128"/>
    </row>
    <row r="78" spans="1:8" x14ac:dyDescent="0.25">
      <c r="A78" s="112"/>
      <c r="B78" s="98"/>
      <c r="C78" s="98"/>
      <c r="D78" s="98"/>
      <c r="E78" s="98"/>
      <c r="G78" s="128"/>
    </row>
    <row r="79" spans="1:8" x14ac:dyDescent="0.25">
      <c r="A79" s="111"/>
      <c r="E79" s="98"/>
      <c r="G79" s="128"/>
    </row>
    <row r="80" spans="1:8" x14ac:dyDescent="0.25">
      <c r="A80" s="111"/>
      <c r="E80" s="98"/>
      <c r="G80" s="128"/>
    </row>
    <row r="81" spans="1:7" x14ac:dyDescent="0.25">
      <c r="A81" s="112"/>
      <c r="B81" s="98"/>
      <c r="C81" s="98"/>
      <c r="D81" s="98"/>
      <c r="E81" s="98"/>
      <c r="G81" s="128"/>
    </row>
    <row r="82" spans="1:7" x14ac:dyDescent="0.25">
      <c r="A82" s="112"/>
      <c r="B82" s="98"/>
      <c r="C82" s="98"/>
      <c r="D82" s="98"/>
      <c r="E82" s="98"/>
      <c r="G82" s="128"/>
    </row>
    <row r="83" spans="1:7" x14ac:dyDescent="0.25">
      <c r="A83" s="109"/>
      <c r="B83" s="87"/>
      <c r="C83" s="87"/>
      <c r="D83" s="87"/>
      <c r="E83" s="98"/>
      <c r="G83" s="128"/>
    </row>
    <row r="84" spans="1:7" x14ac:dyDescent="0.25">
      <c r="A84" s="112"/>
      <c r="B84" s="98"/>
      <c r="C84" s="98"/>
      <c r="D84" s="98"/>
      <c r="E84" s="98"/>
      <c r="G84" s="128"/>
    </row>
    <row r="85" spans="1:7" x14ac:dyDescent="0.25">
      <c r="A85" s="109"/>
      <c r="B85" s="87"/>
      <c r="C85" s="87"/>
      <c r="D85" s="87"/>
      <c r="E85" s="98"/>
    </row>
  </sheetData>
  <mergeCells count="1">
    <mergeCell ref="A2:E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1C983-F290-4E5B-A8F1-87298B6B3029}">
  <sheetPr codeName="Sheet7"/>
  <dimension ref="A1:H71"/>
  <sheetViews>
    <sheetView workbookViewId="0">
      <selection activeCell="E20" sqref="E20"/>
    </sheetView>
  </sheetViews>
  <sheetFormatPr defaultRowHeight="15" x14ac:dyDescent="0.25"/>
  <cols>
    <col min="1" max="1" width="30.42578125" customWidth="1"/>
    <col min="2" max="2" width="20" customWidth="1"/>
    <col min="3" max="3" width="27.5703125" customWidth="1"/>
    <col min="4" max="4" width="29" customWidth="1"/>
    <col min="5" max="5" width="35.85546875" customWidth="1"/>
    <col min="6" max="6" width="14.7109375" customWidth="1"/>
    <col min="7" max="7" width="18.7109375" customWidth="1"/>
    <col min="8" max="8" width="12.42578125" customWidth="1"/>
  </cols>
  <sheetData>
    <row r="1" spans="1:8" ht="20.100000000000001" customHeight="1" x14ac:dyDescent="0.25">
      <c r="A1" s="1" t="s">
        <v>193</v>
      </c>
      <c r="B1" s="1"/>
      <c r="C1" s="1"/>
      <c r="D1" s="1"/>
      <c r="E1" s="1"/>
    </row>
    <row r="2" spans="1:8" ht="48" customHeight="1" x14ac:dyDescent="0.25">
      <c r="A2" s="242" t="s">
        <v>107</v>
      </c>
      <c r="B2" s="242"/>
      <c r="C2" s="242"/>
      <c r="D2" s="242"/>
      <c r="E2" s="242"/>
    </row>
    <row r="3" spans="1:8" ht="14.45" customHeight="1" x14ac:dyDescent="0.25">
      <c r="A3" s="169"/>
      <c r="B3" s="169"/>
      <c r="C3" s="169"/>
      <c r="D3" s="169"/>
      <c r="E3" s="169"/>
    </row>
    <row r="4" spans="1:8" ht="36" customHeight="1" x14ac:dyDescent="0.25">
      <c r="A4" s="210" t="s">
        <v>122</v>
      </c>
      <c r="B4" s="74" t="s">
        <v>108</v>
      </c>
      <c r="C4" s="74" t="s">
        <v>109</v>
      </c>
      <c r="D4" s="74" t="s">
        <v>138</v>
      </c>
      <c r="E4" s="68" t="s">
        <v>79</v>
      </c>
      <c r="F4" s="4"/>
    </row>
    <row r="5" spans="1:8" ht="20.100000000000001" customHeight="1" x14ac:dyDescent="0.25">
      <c r="A5" s="145" t="s">
        <v>118</v>
      </c>
      <c r="B5" s="20">
        <v>10</v>
      </c>
      <c r="C5" s="180">
        <v>0.24390243902439024</v>
      </c>
      <c r="D5" s="221">
        <v>125.4</v>
      </c>
      <c r="E5" s="222">
        <f>D5/$D$9</f>
        <v>0.15262901655306715</v>
      </c>
      <c r="F5" s="4"/>
      <c r="H5" s="69"/>
    </row>
    <row r="6" spans="1:8" ht="20.100000000000001" customHeight="1" x14ac:dyDescent="0.25">
      <c r="A6" s="145" t="s">
        <v>119</v>
      </c>
      <c r="B6" s="20">
        <v>19</v>
      </c>
      <c r="C6" s="180">
        <v>0.46341463414634149</v>
      </c>
      <c r="D6" s="221">
        <v>352.2</v>
      </c>
      <c r="E6" s="222">
        <f t="shared" ref="E6:E8" si="0">D6/$D$9</f>
        <v>0.42867575462512164</v>
      </c>
      <c r="F6" s="4"/>
      <c r="H6" s="69"/>
    </row>
    <row r="7" spans="1:8" ht="20.100000000000001" customHeight="1" x14ac:dyDescent="0.25">
      <c r="A7" s="145" t="s">
        <v>120</v>
      </c>
      <c r="B7" s="20">
        <v>4</v>
      </c>
      <c r="C7" s="180">
        <v>9.7560975609756101E-2</v>
      </c>
      <c r="D7" s="221">
        <v>88.2</v>
      </c>
      <c r="E7" s="222">
        <f t="shared" si="0"/>
        <v>0.10735150925024341</v>
      </c>
      <c r="F7" s="4"/>
      <c r="H7" s="69"/>
    </row>
    <row r="8" spans="1:8" ht="20.100000000000001" customHeight="1" x14ac:dyDescent="0.25">
      <c r="A8" s="145" t="s">
        <v>121</v>
      </c>
      <c r="B8" s="20">
        <v>8</v>
      </c>
      <c r="C8" s="180">
        <v>0.1951219512195122</v>
      </c>
      <c r="D8" s="221">
        <v>255.8</v>
      </c>
      <c r="E8" s="222">
        <f t="shared" si="0"/>
        <v>0.31134371957156765</v>
      </c>
      <c r="F8" s="4"/>
      <c r="H8" s="69"/>
    </row>
    <row r="9" spans="1:8" ht="20.100000000000001" customHeight="1" x14ac:dyDescent="0.25">
      <c r="A9" s="63" t="s">
        <v>0</v>
      </c>
      <c r="B9" s="146">
        <v>41</v>
      </c>
      <c r="C9" s="181">
        <v>1</v>
      </c>
      <c r="D9" s="223">
        <f>SUM(D5:D8)</f>
        <v>821.60000000000014</v>
      </c>
      <c r="E9" s="224">
        <v>1</v>
      </c>
      <c r="F9" s="4"/>
    </row>
    <row r="10" spans="1:8" x14ac:dyDescent="0.25">
      <c r="A10" s="9"/>
    </row>
    <row r="11" spans="1:8" x14ac:dyDescent="0.25">
      <c r="A11" s="9"/>
    </row>
    <row r="12" spans="1:8" ht="15.75" x14ac:dyDescent="0.25">
      <c r="A12" s="1"/>
    </row>
    <row r="14" spans="1:8" ht="20.100000000000001" customHeight="1" x14ac:dyDescent="0.25">
      <c r="A14" s="1"/>
      <c r="B14" s="1"/>
      <c r="C14" s="1"/>
      <c r="D14" s="1"/>
      <c r="E14" s="1"/>
      <c r="F14" s="1"/>
      <c r="G14" s="1"/>
    </row>
    <row r="15" spans="1:8" x14ac:dyDescent="0.25">
      <c r="A15" s="13"/>
      <c r="B15" s="11"/>
      <c r="C15" s="11"/>
      <c r="D15" s="11"/>
      <c r="E15" s="11"/>
      <c r="F15" s="11"/>
      <c r="G15" s="29"/>
      <c r="H15" s="16"/>
    </row>
    <row r="16" spans="1:8" x14ac:dyDescent="0.25">
      <c r="A16" s="15"/>
      <c r="G16" s="29"/>
      <c r="H16" s="16"/>
    </row>
    <row r="17" spans="1:8" x14ac:dyDescent="0.25">
      <c r="A17" s="15"/>
      <c r="D17" s="16"/>
      <c r="E17" s="16"/>
      <c r="F17" s="16"/>
      <c r="G17" s="29"/>
      <c r="H17" s="18"/>
    </row>
    <row r="18" spans="1:8" x14ac:dyDescent="0.25">
      <c r="A18" s="17"/>
      <c r="B18" s="12"/>
      <c r="C18" s="12"/>
      <c r="D18" s="12"/>
      <c r="E18" s="12"/>
      <c r="F18" s="12"/>
      <c r="G18" s="29"/>
      <c r="H18" s="14"/>
    </row>
    <row r="19" spans="1:8" x14ac:dyDescent="0.25">
      <c r="A19" s="13"/>
      <c r="B19" s="11"/>
      <c r="C19" s="11"/>
      <c r="D19" s="11"/>
      <c r="E19" s="11"/>
      <c r="F19" s="11"/>
      <c r="G19" s="29"/>
      <c r="H19" s="16"/>
    </row>
    <row r="20" spans="1:8" x14ac:dyDescent="0.25">
      <c r="A20" s="15"/>
      <c r="D20" s="16"/>
      <c r="G20" s="29"/>
      <c r="H20" s="18"/>
    </row>
    <row r="21" spans="1:8" x14ac:dyDescent="0.25">
      <c r="A21" s="17"/>
      <c r="B21" s="12"/>
      <c r="C21" s="12"/>
      <c r="D21" s="12"/>
      <c r="E21" s="12"/>
      <c r="F21" s="12"/>
      <c r="G21" s="29"/>
      <c r="H21" s="16"/>
    </row>
    <row r="22" spans="1:8" x14ac:dyDescent="0.25">
      <c r="A22" s="15"/>
      <c r="G22" s="29"/>
      <c r="H22" s="16"/>
    </row>
    <row r="23" spans="1:8" x14ac:dyDescent="0.25">
      <c r="A23" s="15"/>
      <c r="G23" s="29"/>
      <c r="H23" s="18"/>
    </row>
    <row r="24" spans="1:8" x14ac:dyDescent="0.25">
      <c r="A24" s="17"/>
      <c r="B24" s="12"/>
      <c r="C24" s="12"/>
      <c r="D24" s="12"/>
      <c r="E24" s="12"/>
      <c r="F24" s="12"/>
      <c r="G24" s="29"/>
      <c r="H24" s="14"/>
    </row>
    <row r="25" spans="1:8" x14ac:dyDescent="0.25">
      <c r="A25" s="13"/>
      <c r="B25" s="11"/>
      <c r="C25" s="11"/>
      <c r="D25" s="11"/>
      <c r="E25" s="11"/>
      <c r="F25" s="11"/>
      <c r="G25" s="29"/>
      <c r="H25" s="16"/>
    </row>
    <row r="26" spans="1:8" x14ac:dyDescent="0.25">
      <c r="A26" s="15"/>
      <c r="G26" s="29"/>
      <c r="H26" s="16"/>
    </row>
    <row r="27" spans="1:8" x14ac:dyDescent="0.25">
      <c r="A27" s="15"/>
      <c r="G27" s="29"/>
      <c r="H27" s="18"/>
    </row>
    <row r="28" spans="1:8" x14ac:dyDescent="0.25">
      <c r="A28" s="17"/>
      <c r="B28" s="12"/>
      <c r="C28" s="12"/>
      <c r="D28" s="12"/>
      <c r="E28" s="12"/>
      <c r="F28" s="12"/>
      <c r="G28" s="29"/>
      <c r="H28" s="14"/>
    </row>
    <row r="29" spans="1:8" x14ac:dyDescent="0.25">
      <c r="A29" s="13"/>
      <c r="B29" s="11"/>
      <c r="C29" s="11"/>
      <c r="D29" s="11"/>
      <c r="E29" s="11"/>
      <c r="F29" s="11"/>
      <c r="G29" s="29"/>
      <c r="H29" s="16"/>
    </row>
    <row r="30" spans="1:8" x14ac:dyDescent="0.25">
      <c r="A30" s="15"/>
      <c r="G30" s="29"/>
      <c r="H30" s="14"/>
    </row>
    <row r="31" spans="1:8" x14ac:dyDescent="0.25">
      <c r="A31" s="13"/>
      <c r="B31" s="11"/>
      <c r="C31" s="11"/>
      <c r="D31" s="11"/>
      <c r="E31" s="11"/>
      <c r="F31" s="11"/>
      <c r="G31" s="29"/>
      <c r="H31" s="16"/>
    </row>
    <row r="32" spans="1:8" x14ac:dyDescent="0.25">
      <c r="A32" s="15"/>
      <c r="G32" s="29"/>
      <c r="H32" s="16"/>
    </row>
    <row r="33" spans="1:8" x14ac:dyDescent="0.25">
      <c r="A33" s="15"/>
      <c r="G33" s="29"/>
      <c r="H33" s="14"/>
    </row>
    <row r="34" spans="1:8" x14ac:dyDescent="0.25">
      <c r="A34" s="13"/>
      <c r="B34" s="11"/>
      <c r="C34" s="11"/>
      <c r="D34" s="11"/>
      <c r="E34" s="11"/>
      <c r="F34" s="11"/>
      <c r="G34" s="29"/>
      <c r="H34" s="14"/>
    </row>
    <row r="35" spans="1:8" x14ac:dyDescent="0.25">
      <c r="A35" s="13"/>
      <c r="B35" s="11"/>
      <c r="C35" s="11"/>
      <c r="D35" s="11"/>
      <c r="E35" s="11"/>
      <c r="F35" s="11"/>
      <c r="G35" s="29"/>
      <c r="H35" s="16"/>
    </row>
    <row r="36" spans="1:8" x14ac:dyDescent="0.25">
      <c r="A36" s="15"/>
      <c r="G36" s="29"/>
      <c r="H36" s="16"/>
    </row>
    <row r="37" spans="1:8" x14ac:dyDescent="0.25">
      <c r="A37" s="15"/>
      <c r="G37" s="29"/>
      <c r="H37" s="14"/>
    </row>
    <row r="38" spans="1:8" x14ac:dyDescent="0.25">
      <c r="A38" s="13"/>
      <c r="B38" s="11"/>
      <c r="C38" s="11"/>
      <c r="D38" s="11"/>
      <c r="E38" s="11"/>
      <c r="F38" s="11"/>
      <c r="G38" s="29"/>
      <c r="H38" s="16"/>
    </row>
    <row r="39" spans="1:8" x14ac:dyDescent="0.25">
      <c r="A39" s="15"/>
      <c r="G39" s="29"/>
      <c r="H39" s="16"/>
    </row>
    <row r="40" spans="1:8" x14ac:dyDescent="0.25">
      <c r="A40" s="15"/>
      <c r="G40" s="29"/>
      <c r="H40" s="16"/>
    </row>
    <row r="41" spans="1:8" x14ac:dyDescent="0.25">
      <c r="A41" s="15"/>
      <c r="G41" s="29"/>
      <c r="H41" s="16"/>
    </row>
    <row r="42" spans="1:8" x14ac:dyDescent="0.25">
      <c r="A42" s="15"/>
      <c r="G42" s="29"/>
      <c r="H42" s="18"/>
    </row>
    <row r="43" spans="1:8" x14ac:dyDescent="0.25">
      <c r="A43" s="17"/>
      <c r="B43" s="12"/>
      <c r="C43" s="12"/>
      <c r="D43" s="12"/>
      <c r="E43" s="12"/>
      <c r="F43" s="12"/>
      <c r="G43" s="29"/>
      <c r="H43" s="14"/>
    </row>
    <row r="44" spans="1:8" x14ac:dyDescent="0.25">
      <c r="A44" s="13"/>
      <c r="B44" s="11"/>
      <c r="C44" s="11"/>
      <c r="D44" s="11"/>
      <c r="E44" s="11"/>
      <c r="F44" s="11"/>
      <c r="G44" s="29"/>
      <c r="H44" s="14"/>
    </row>
    <row r="45" spans="1:8" x14ac:dyDescent="0.25">
      <c r="A45" s="13"/>
      <c r="B45" s="11"/>
      <c r="C45" s="11"/>
      <c r="D45" s="11"/>
      <c r="E45" s="11"/>
      <c r="F45" s="11"/>
      <c r="G45" s="29"/>
      <c r="H45" s="16"/>
    </row>
    <row r="46" spans="1:8" x14ac:dyDescent="0.25">
      <c r="A46" s="15"/>
      <c r="G46" s="29"/>
      <c r="H46" s="18"/>
    </row>
    <row r="47" spans="1:8" x14ac:dyDescent="0.25">
      <c r="A47" s="17"/>
      <c r="B47" s="12"/>
      <c r="C47" s="12"/>
      <c r="D47" s="12"/>
      <c r="E47" s="12"/>
      <c r="F47" s="12"/>
      <c r="G47" s="29"/>
      <c r="H47" s="18"/>
    </row>
    <row r="48" spans="1:8" x14ac:dyDescent="0.25">
      <c r="A48" s="17"/>
      <c r="B48" s="12"/>
      <c r="C48" s="12"/>
      <c r="D48" s="12"/>
      <c r="E48" s="12"/>
      <c r="F48" s="12"/>
      <c r="G48" s="29"/>
      <c r="H48" s="16"/>
    </row>
    <row r="49" spans="1:8" x14ac:dyDescent="0.25">
      <c r="A49" s="15"/>
      <c r="G49" s="29"/>
      <c r="H49" s="16"/>
    </row>
    <row r="50" spans="1:8" x14ac:dyDescent="0.25">
      <c r="A50" s="15"/>
      <c r="G50" s="29"/>
      <c r="H50" s="18"/>
    </row>
    <row r="51" spans="1:8" x14ac:dyDescent="0.25">
      <c r="A51" s="17"/>
      <c r="B51" s="12"/>
      <c r="C51" s="12"/>
      <c r="D51" s="12"/>
      <c r="E51" s="12"/>
      <c r="F51" s="12"/>
      <c r="G51" s="29"/>
      <c r="H51" s="18"/>
    </row>
    <row r="52" spans="1:8" x14ac:dyDescent="0.25">
      <c r="A52" s="17"/>
      <c r="B52" s="12"/>
      <c r="C52" s="12"/>
      <c r="D52" s="12"/>
      <c r="E52" s="12"/>
      <c r="F52" s="12"/>
      <c r="G52" s="29"/>
      <c r="H52" s="14"/>
    </row>
    <row r="53" spans="1:8" x14ac:dyDescent="0.25">
      <c r="A53" s="13"/>
      <c r="B53" s="11"/>
      <c r="C53" s="11"/>
      <c r="D53" s="11"/>
      <c r="E53" s="11"/>
      <c r="F53" s="11"/>
      <c r="G53" s="29"/>
      <c r="H53" s="18"/>
    </row>
    <row r="54" spans="1:8" x14ac:dyDescent="0.25">
      <c r="A54" s="17"/>
      <c r="B54" s="12"/>
      <c r="C54" s="12"/>
      <c r="D54" s="12"/>
      <c r="E54" s="12"/>
      <c r="F54" s="11"/>
      <c r="G54" s="29"/>
      <c r="H54" s="14"/>
    </row>
    <row r="55" spans="1:8" x14ac:dyDescent="0.25">
      <c r="A55" s="13"/>
      <c r="B55" s="11"/>
      <c r="C55" s="11"/>
      <c r="D55" s="11"/>
      <c r="E55" s="11"/>
      <c r="F55" s="11"/>
      <c r="G55" s="29"/>
    </row>
    <row r="56" spans="1:8" x14ac:dyDescent="0.25">
      <c r="A56" s="15"/>
      <c r="E56" s="12"/>
      <c r="F56" s="11"/>
      <c r="G56" s="29"/>
    </row>
    <row r="57" spans="1:8" x14ac:dyDescent="0.25">
      <c r="A57" s="15"/>
      <c r="E57" s="12"/>
      <c r="F57" s="11"/>
      <c r="G57" s="30"/>
    </row>
    <row r="58" spans="1:8" x14ac:dyDescent="0.25">
      <c r="A58" s="15"/>
      <c r="E58" s="12"/>
      <c r="F58" s="11"/>
      <c r="G58" s="30"/>
    </row>
    <row r="59" spans="1:8" x14ac:dyDescent="0.25">
      <c r="A59" s="15"/>
      <c r="E59" s="12"/>
      <c r="F59" s="11"/>
      <c r="G59" s="30"/>
    </row>
    <row r="60" spans="1:8" x14ac:dyDescent="0.25">
      <c r="A60" s="17"/>
      <c r="B60" s="12"/>
      <c r="C60" s="12"/>
      <c r="D60" s="12"/>
      <c r="E60" s="12"/>
      <c r="F60" s="11"/>
      <c r="G60" s="30"/>
    </row>
    <row r="61" spans="1:8" x14ac:dyDescent="0.25">
      <c r="A61" s="13"/>
      <c r="B61" s="11"/>
      <c r="C61" s="11"/>
      <c r="D61" s="11"/>
      <c r="E61" s="12"/>
      <c r="F61" s="11"/>
      <c r="G61" s="30"/>
    </row>
    <row r="62" spans="1:8" x14ac:dyDescent="0.25">
      <c r="A62" s="13"/>
      <c r="B62" s="11"/>
      <c r="C62" s="11"/>
      <c r="D62" s="11"/>
      <c r="E62" s="12"/>
      <c r="F62" s="11"/>
      <c r="G62" s="30"/>
    </row>
    <row r="63" spans="1:8" x14ac:dyDescent="0.25">
      <c r="A63" s="15"/>
      <c r="E63" s="12"/>
      <c r="F63" s="11"/>
      <c r="G63" s="30"/>
    </row>
    <row r="64" spans="1:8" x14ac:dyDescent="0.25">
      <c r="A64" s="17"/>
      <c r="B64" s="12"/>
      <c r="C64" s="12"/>
      <c r="D64" s="12"/>
      <c r="E64" s="12"/>
      <c r="G64" s="30"/>
    </row>
    <row r="65" spans="1:7" x14ac:dyDescent="0.25">
      <c r="A65" s="17"/>
      <c r="B65" s="12"/>
      <c r="C65" s="12"/>
      <c r="D65" s="12"/>
      <c r="E65" s="12"/>
      <c r="G65" s="30"/>
    </row>
    <row r="66" spans="1:7" x14ac:dyDescent="0.25">
      <c r="A66" s="15"/>
      <c r="E66" s="12"/>
      <c r="F66" s="11"/>
      <c r="G66" s="30"/>
    </row>
    <row r="67" spans="1:7" x14ac:dyDescent="0.25">
      <c r="A67" s="15"/>
      <c r="E67" s="12"/>
      <c r="F67" s="11"/>
      <c r="G67" s="30"/>
    </row>
    <row r="68" spans="1:7" x14ac:dyDescent="0.25">
      <c r="A68" s="17"/>
      <c r="B68" s="12"/>
      <c r="C68" s="12"/>
      <c r="D68" s="12"/>
      <c r="E68" s="12"/>
      <c r="F68" s="11"/>
      <c r="G68" s="30"/>
    </row>
    <row r="69" spans="1:7" x14ac:dyDescent="0.25">
      <c r="A69" s="17"/>
      <c r="B69" s="12"/>
      <c r="C69" s="12"/>
      <c r="D69" s="12"/>
      <c r="E69" s="12"/>
      <c r="F69" s="11"/>
      <c r="G69" s="30"/>
    </row>
    <row r="70" spans="1:7" x14ac:dyDescent="0.25">
      <c r="A70" s="13"/>
      <c r="B70" s="11"/>
      <c r="C70" s="11"/>
      <c r="D70" s="11"/>
      <c r="E70" s="12"/>
      <c r="G70" s="30"/>
    </row>
    <row r="71" spans="1:7" x14ac:dyDescent="0.25">
      <c r="A71" s="17"/>
      <c r="B71" s="12"/>
      <c r="C71" s="12"/>
      <c r="D71" s="12"/>
      <c r="E71" s="12"/>
      <c r="G71" s="30"/>
    </row>
  </sheetData>
  <mergeCells count="1">
    <mergeCell ref="A2:E2"/>
  </mergeCells>
  <dataValidations count="3">
    <dataValidation type="list" allowBlank="1" showInputMessage="1" showErrorMessage="1" sqref="E56:E71 F66:F69 F15:F63" xr:uid="{8F799990-F97F-49AF-8DD4-AF3599697C41}">
      <formula1>"Seed, Early Venture, Late Venture, Growth Equity"</formula1>
    </dataValidation>
    <dataValidation type="list" allowBlank="1" showInputMessage="1" showErrorMessage="1" sqref="G50 G43 G52 G15:G36" xr:uid="{386FFA1B-6069-464B-90E6-712FB4CFFD65}">
      <formula1>"Seed, Early Stage, Late Stage, Growth Equity"</formula1>
    </dataValidation>
    <dataValidation type="list" allowBlank="1" showInputMessage="1" showErrorMessage="1" sqref="B15:B55" xr:uid="{6CC36008-89D4-43FA-9A4A-CFBB30B51529}">
      <formula1>$A$1:$A$4</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9A090-DCEA-4AE8-B85E-2F55D8C69B66}">
  <sheetPr codeName="Sheet8"/>
  <dimension ref="A1:H77"/>
  <sheetViews>
    <sheetView workbookViewId="0">
      <selection activeCell="D17" sqref="D17"/>
    </sheetView>
  </sheetViews>
  <sheetFormatPr defaultRowHeight="15" x14ac:dyDescent="0.25"/>
  <cols>
    <col min="1" max="1" width="44.7109375" customWidth="1"/>
    <col min="2" max="2" width="21.85546875" customWidth="1"/>
    <col min="3" max="3" width="27.140625" customWidth="1"/>
    <col min="4" max="4" width="29.28515625" customWidth="1"/>
    <col min="5" max="5" width="35.42578125" customWidth="1"/>
    <col min="6" max="6" width="14.42578125" customWidth="1"/>
    <col min="7" max="7" width="20.7109375" customWidth="1"/>
    <col min="8" max="8" width="13.7109375" customWidth="1"/>
  </cols>
  <sheetData>
    <row r="1" spans="1:8" ht="20.100000000000001" customHeight="1" x14ac:dyDescent="0.25">
      <c r="A1" s="1" t="s">
        <v>194</v>
      </c>
      <c r="B1" s="1"/>
      <c r="C1" s="1"/>
      <c r="D1" s="1"/>
      <c r="E1" s="1"/>
    </row>
    <row r="2" spans="1:8" ht="46.5" customHeight="1" x14ac:dyDescent="0.25">
      <c r="A2" s="242" t="s">
        <v>107</v>
      </c>
      <c r="B2" s="242"/>
      <c r="C2" s="242"/>
      <c r="D2" s="242"/>
      <c r="E2" s="242"/>
    </row>
    <row r="3" spans="1:8" ht="14.1" customHeight="1" x14ac:dyDescent="0.25">
      <c r="A3" s="169"/>
      <c r="B3" s="169"/>
      <c r="C3" s="169"/>
      <c r="D3" s="169"/>
      <c r="E3" s="169"/>
    </row>
    <row r="4" spans="1:8" ht="20.100000000000001" customHeight="1" x14ac:dyDescent="0.25">
      <c r="A4" s="63" t="s">
        <v>124</v>
      </c>
      <c r="B4" s="147" t="s">
        <v>108</v>
      </c>
      <c r="C4" s="74" t="s">
        <v>109</v>
      </c>
      <c r="D4" s="74" t="s">
        <v>138</v>
      </c>
      <c r="E4" s="68" t="s">
        <v>79</v>
      </c>
    </row>
    <row r="5" spans="1:8" ht="20.100000000000001" customHeight="1" x14ac:dyDescent="0.25">
      <c r="A5" s="133" t="s">
        <v>125</v>
      </c>
      <c r="B5" s="20">
        <v>1</v>
      </c>
      <c r="C5" s="225">
        <v>2.4390243902439025E-2</v>
      </c>
      <c r="D5" s="221">
        <v>10</v>
      </c>
      <c r="E5" s="222">
        <v>1.2171372930866601E-2</v>
      </c>
      <c r="G5" s="69"/>
    </row>
    <row r="6" spans="1:8" ht="33.75" customHeight="1" x14ac:dyDescent="0.25">
      <c r="A6" s="211" t="s">
        <v>127</v>
      </c>
      <c r="B6" s="20">
        <v>32</v>
      </c>
      <c r="C6" s="225">
        <v>0.78048780487804881</v>
      </c>
      <c r="D6" s="221">
        <v>663.6</v>
      </c>
      <c r="E6" s="222">
        <v>0.80769230769230771</v>
      </c>
      <c r="G6" s="69"/>
    </row>
    <row r="7" spans="1:8" ht="20.100000000000001" customHeight="1" x14ac:dyDescent="0.25">
      <c r="A7" s="133" t="s">
        <v>126</v>
      </c>
      <c r="B7" s="20">
        <v>8</v>
      </c>
      <c r="C7" s="225">
        <v>0.1951219512195122</v>
      </c>
      <c r="D7" s="221">
        <v>148</v>
      </c>
      <c r="E7" s="222">
        <v>0.1801363193768257</v>
      </c>
      <c r="G7" s="69"/>
    </row>
    <row r="8" spans="1:8" ht="20.100000000000001" customHeight="1" x14ac:dyDescent="0.25">
      <c r="A8" s="65" t="s">
        <v>0</v>
      </c>
      <c r="B8" s="146">
        <v>41</v>
      </c>
      <c r="C8" s="226">
        <v>1</v>
      </c>
      <c r="D8" s="223">
        <f>SUM(D5:D7)</f>
        <v>821.6</v>
      </c>
      <c r="E8" s="224">
        <v>0.99999999999999989</v>
      </c>
    </row>
    <row r="9" spans="1:8" ht="20.100000000000001" customHeight="1" x14ac:dyDescent="0.25">
      <c r="A9" s="9"/>
    </row>
    <row r="11" spans="1:8" x14ac:dyDescent="0.25">
      <c r="A11" s="13"/>
      <c r="B11" s="11"/>
      <c r="C11" s="11"/>
      <c r="D11" s="11"/>
      <c r="E11" s="11"/>
      <c r="F11" s="11"/>
      <c r="G11" s="11"/>
      <c r="H11" s="14"/>
    </row>
    <row r="12" spans="1:8" ht="15.75" x14ac:dyDescent="0.25">
      <c r="A12" s="1"/>
      <c r="H12" s="16"/>
    </row>
    <row r="13" spans="1:8" x14ac:dyDescent="0.25">
      <c r="A13" s="15"/>
      <c r="H13" s="16"/>
    </row>
    <row r="14" spans="1:8" x14ac:dyDescent="0.25">
      <c r="A14" s="15"/>
      <c r="D14" t="s">
        <v>14</v>
      </c>
      <c r="G14" s="29"/>
      <c r="H14" s="18"/>
    </row>
    <row r="15" spans="1:8" x14ac:dyDescent="0.25">
      <c r="A15" s="15"/>
      <c r="G15" s="29"/>
      <c r="H15" s="14"/>
    </row>
    <row r="16" spans="1:8" x14ac:dyDescent="0.25">
      <c r="A16" s="17"/>
      <c r="B16" s="12"/>
      <c r="C16" s="12"/>
      <c r="D16" s="12"/>
      <c r="E16" s="12"/>
      <c r="F16" s="12"/>
      <c r="G16" s="29"/>
      <c r="H16" s="16"/>
    </row>
    <row r="17" spans="1:8" x14ac:dyDescent="0.25">
      <c r="A17" s="13"/>
      <c r="B17" s="11"/>
      <c r="C17" s="11"/>
      <c r="D17" s="11"/>
      <c r="E17" s="11"/>
      <c r="F17" s="11"/>
      <c r="G17" s="29"/>
      <c r="H17" s="16"/>
    </row>
    <row r="18" spans="1:8" x14ac:dyDescent="0.25">
      <c r="A18" s="15"/>
      <c r="G18" s="29"/>
      <c r="H18" s="18"/>
    </row>
    <row r="19" spans="1:8" x14ac:dyDescent="0.25">
      <c r="A19" s="15"/>
      <c r="G19" s="29"/>
      <c r="H19" s="14"/>
    </row>
    <row r="20" spans="1:8" x14ac:dyDescent="0.25">
      <c r="A20" s="17"/>
      <c r="B20" s="12"/>
      <c r="C20" s="12"/>
      <c r="D20" s="12"/>
      <c r="E20" s="12"/>
      <c r="F20" s="12"/>
      <c r="G20" s="29"/>
      <c r="H20" s="16"/>
    </row>
    <row r="21" spans="1:8" x14ac:dyDescent="0.25">
      <c r="A21" s="13"/>
      <c r="B21" s="11"/>
      <c r="C21" s="11"/>
      <c r="D21" s="11"/>
      <c r="E21" s="11"/>
      <c r="F21" s="11"/>
      <c r="G21" s="29"/>
      <c r="H21" s="16"/>
    </row>
    <row r="22" spans="1:8" x14ac:dyDescent="0.25">
      <c r="A22" s="15"/>
      <c r="G22" s="29"/>
      <c r="H22" s="18"/>
    </row>
    <row r="23" spans="1:8" x14ac:dyDescent="0.25">
      <c r="A23" s="15"/>
      <c r="D23" s="16"/>
      <c r="E23" s="16"/>
      <c r="F23" s="16"/>
      <c r="G23" s="29"/>
      <c r="H23" s="14"/>
    </row>
    <row r="24" spans="1:8" x14ac:dyDescent="0.25">
      <c r="A24" s="17"/>
      <c r="B24" s="12"/>
      <c r="C24" s="12"/>
      <c r="D24" s="12"/>
      <c r="E24" s="12"/>
      <c r="F24" s="12"/>
      <c r="G24" s="29"/>
      <c r="H24" s="16"/>
    </row>
    <row r="25" spans="1:8" x14ac:dyDescent="0.25">
      <c r="A25" s="13"/>
      <c r="B25" s="11"/>
      <c r="C25" s="11"/>
      <c r="D25" s="11"/>
      <c r="E25" s="11"/>
      <c r="F25" s="11"/>
      <c r="G25" s="29"/>
      <c r="H25" s="18"/>
    </row>
    <row r="26" spans="1:8" x14ac:dyDescent="0.25">
      <c r="A26" s="15"/>
      <c r="D26" s="16"/>
      <c r="G26" s="29"/>
      <c r="H26" s="16"/>
    </row>
    <row r="27" spans="1:8" x14ac:dyDescent="0.25">
      <c r="A27" s="17"/>
      <c r="B27" s="12"/>
      <c r="C27" s="12"/>
      <c r="D27" s="12"/>
      <c r="E27" s="12"/>
      <c r="F27" s="12"/>
      <c r="G27" s="29"/>
      <c r="H27" s="16"/>
    </row>
    <row r="28" spans="1:8" x14ac:dyDescent="0.25">
      <c r="A28" s="15"/>
      <c r="G28" s="29"/>
      <c r="H28" s="18"/>
    </row>
    <row r="29" spans="1:8" x14ac:dyDescent="0.25">
      <c r="A29" s="15"/>
      <c r="G29" s="29"/>
      <c r="H29" s="14"/>
    </row>
    <row r="30" spans="1:8" x14ac:dyDescent="0.25">
      <c r="A30" s="17"/>
      <c r="B30" s="12"/>
      <c r="C30" s="12"/>
      <c r="D30" s="12"/>
      <c r="E30" s="12"/>
      <c r="F30" s="12"/>
      <c r="G30" s="29"/>
      <c r="H30" s="16"/>
    </row>
    <row r="31" spans="1:8" x14ac:dyDescent="0.25">
      <c r="A31" s="13"/>
      <c r="B31" s="11"/>
      <c r="C31" s="11"/>
      <c r="D31" s="11"/>
      <c r="E31" s="11"/>
      <c r="F31" s="11"/>
      <c r="G31" s="29"/>
      <c r="H31" s="16"/>
    </row>
    <row r="32" spans="1:8" x14ac:dyDescent="0.25">
      <c r="A32" s="15"/>
      <c r="G32" s="29"/>
      <c r="H32" s="18"/>
    </row>
    <row r="33" spans="1:8" x14ac:dyDescent="0.25">
      <c r="A33" s="15"/>
      <c r="G33" s="29"/>
      <c r="H33" s="14"/>
    </row>
    <row r="34" spans="1:8" x14ac:dyDescent="0.25">
      <c r="A34" s="17"/>
      <c r="B34" s="12"/>
      <c r="C34" s="12"/>
      <c r="D34" s="12"/>
      <c r="E34" s="12"/>
      <c r="F34" s="12"/>
      <c r="G34" s="29"/>
      <c r="H34" s="16"/>
    </row>
    <row r="35" spans="1:8" x14ac:dyDescent="0.25">
      <c r="A35" s="13"/>
      <c r="B35" s="11"/>
      <c r="C35" s="11"/>
      <c r="D35" s="11"/>
      <c r="E35" s="11"/>
      <c r="F35" s="11"/>
      <c r="G35" s="29"/>
      <c r="H35" s="14"/>
    </row>
    <row r="36" spans="1:8" x14ac:dyDescent="0.25">
      <c r="A36" s="15"/>
      <c r="G36" s="29"/>
      <c r="H36" s="16"/>
    </row>
    <row r="37" spans="1:8" x14ac:dyDescent="0.25">
      <c r="A37" s="13"/>
      <c r="B37" s="11"/>
      <c r="C37" s="11"/>
      <c r="D37" s="11"/>
      <c r="E37" s="11"/>
      <c r="F37" s="11"/>
      <c r="G37" s="29"/>
      <c r="H37" s="16"/>
    </row>
    <row r="38" spans="1:8" x14ac:dyDescent="0.25">
      <c r="A38" s="15"/>
      <c r="G38" s="29"/>
      <c r="H38" s="14"/>
    </row>
    <row r="39" spans="1:8" x14ac:dyDescent="0.25">
      <c r="A39" s="15"/>
      <c r="G39" s="29"/>
      <c r="H39" s="14"/>
    </row>
    <row r="40" spans="1:8" x14ac:dyDescent="0.25">
      <c r="A40" s="13"/>
      <c r="B40" s="11"/>
      <c r="C40" s="11"/>
      <c r="D40" s="11"/>
      <c r="E40" s="11"/>
      <c r="F40" s="11"/>
      <c r="G40" s="29"/>
      <c r="H40" s="16"/>
    </row>
    <row r="41" spans="1:8" x14ac:dyDescent="0.25">
      <c r="A41" s="13"/>
      <c r="B41" s="11"/>
      <c r="C41" s="11"/>
      <c r="D41" s="11"/>
      <c r="E41" s="11"/>
      <c r="F41" s="11"/>
      <c r="G41" s="29"/>
      <c r="H41" s="16"/>
    </row>
    <row r="42" spans="1:8" x14ac:dyDescent="0.25">
      <c r="A42" s="15"/>
      <c r="G42" s="29"/>
      <c r="H42" s="14"/>
    </row>
    <row r="43" spans="1:8" x14ac:dyDescent="0.25">
      <c r="A43" s="15"/>
      <c r="G43" s="29"/>
      <c r="H43" s="16"/>
    </row>
    <row r="44" spans="1:8" x14ac:dyDescent="0.25">
      <c r="A44" s="13"/>
      <c r="B44" s="11"/>
      <c r="C44" s="11"/>
      <c r="D44" s="11"/>
      <c r="E44" s="11"/>
      <c r="F44" s="11"/>
      <c r="G44" s="29"/>
      <c r="H44" s="16"/>
    </row>
    <row r="45" spans="1:8" x14ac:dyDescent="0.25">
      <c r="A45" s="15"/>
      <c r="G45" s="29"/>
      <c r="H45" s="16"/>
    </row>
    <row r="46" spans="1:8" x14ac:dyDescent="0.25">
      <c r="A46" s="15"/>
      <c r="G46" s="29"/>
      <c r="H46" s="16"/>
    </row>
    <row r="47" spans="1:8" x14ac:dyDescent="0.25">
      <c r="A47" s="15"/>
      <c r="G47" s="29"/>
      <c r="H47" s="18"/>
    </row>
    <row r="48" spans="1:8" x14ac:dyDescent="0.25">
      <c r="A48" s="15"/>
      <c r="G48" s="29"/>
      <c r="H48" s="14"/>
    </row>
    <row r="49" spans="1:8" x14ac:dyDescent="0.25">
      <c r="A49" s="17"/>
      <c r="B49" s="12"/>
      <c r="C49" s="12"/>
      <c r="D49" s="12"/>
      <c r="E49" s="12"/>
      <c r="F49" s="12"/>
      <c r="G49" s="29"/>
      <c r="H49" s="14"/>
    </row>
    <row r="50" spans="1:8" x14ac:dyDescent="0.25">
      <c r="A50" s="13"/>
      <c r="B50" s="11"/>
      <c r="C50" s="11"/>
      <c r="D50" s="11"/>
      <c r="E50" s="11"/>
      <c r="F50" s="11"/>
      <c r="G50" s="29"/>
      <c r="H50" s="16"/>
    </row>
    <row r="51" spans="1:8" x14ac:dyDescent="0.25">
      <c r="A51" s="13"/>
      <c r="B51" s="11"/>
      <c r="C51" s="11"/>
      <c r="D51" s="11"/>
      <c r="E51" s="11"/>
      <c r="F51" s="11"/>
      <c r="G51" s="29"/>
      <c r="H51" s="18"/>
    </row>
    <row r="52" spans="1:8" x14ac:dyDescent="0.25">
      <c r="A52" s="15"/>
      <c r="G52" s="29"/>
      <c r="H52" s="18"/>
    </row>
    <row r="53" spans="1:8" x14ac:dyDescent="0.25">
      <c r="A53" s="17"/>
      <c r="B53" s="12"/>
      <c r="C53" s="12"/>
      <c r="D53" s="12"/>
      <c r="E53" s="12"/>
      <c r="F53" s="12"/>
      <c r="G53" s="29"/>
      <c r="H53" s="16"/>
    </row>
    <row r="54" spans="1:8" x14ac:dyDescent="0.25">
      <c r="A54" s="17"/>
      <c r="B54" s="12"/>
      <c r="C54" s="12"/>
      <c r="D54" s="12"/>
      <c r="E54" s="12"/>
      <c r="F54" s="12"/>
      <c r="G54" s="29"/>
      <c r="H54" s="16"/>
    </row>
    <row r="55" spans="1:8" x14ac:dyDescent="0.25">
      <c r="A55" s="15"/>
      <c r="G55" s="29"/>
      <c r="H55" s="18"/>
    </row>
    <row r="56" spans="1:8" x14ac:dyDescent="0.25">
      <c r="A56" s="15"/>
      <c r="G56" s="29"/>
      <c r="H56" s="18"/>
    </row>
    <row r="57" spans="1:8" x14ac:dyDescent="0.25">
      <c r="A57" s="17"/>
      <c r="B57" s="12"/>
      <c r="C57" s="12"/>
      <c r="D57" s="12"/>
      <c r="E57" s="12"/>
      <c r="F57" s="12"/>
      <c r="G57" s="29"/>
      <c r="H57" s="14"/>
    </row>
    <row r="58" spans="1:8" x14ac:dyDescent="0.25">
      <c r="A58" s="17"/>
      <c r="B58" s="12"/>
      <c r="C58" s="12"/>
      <c r="D58" s="12"/>
      <c r="E58" s="12"/>
      <c r="F58" s="12"/>
      <c r="G58" s="29"/>
      <c r="H58" s="18"/>
    </row>
    <row r="59" spans="1:8" x14ac:dyDescent="0.25">
      <c r="A59" s="13"/>
      <c r="B59" s="11"/>
      <c r="C59" s="11"/>
      <c r="D59" s="11"/>
      <c r="E59" s="11"/>
      <c r="F59" s="11"/>
      <c r="G59" s="29"/>
      <c r="H59" s="14"/>
    </row>
    <row r="60" spans="1:8" x14ac:dyDescent="0.25">
      <c r="A60" s="17"/>
      <c r="B60" s="12"/>
      <c r="C60" s="12"/>
      <c r="D60" s="12"/>
      <c r="E60" s="12"/>
      <c r="F60" s="11"/>
      <c r="G60" s="29"/>
    </row>
    <row r="61" spans="1:8" x14ac:dyDescent="0.25">
      <c r="A61" s="13"/>
      <c r="B61" s="11"/>
      <c r="C61" s="11"/>
      <c r="D61" s="11"/>
      <c r="E61" s="11"/>
      <c r="F61" s="11"/>
      <c r="G61" s="29"/>
    </row>
    <row r="62" spans="1:8" x14ac:dyDescent="0.25">
      <c r="A62" s="15"/>
      <c r="E62" s="12"/>
      <c r="F62" s="11"/>
      <c r="G62" s="29"/>
    </row>
    <row r="63" spans="1:8" x14ac:dyDescent="0.25">
      <c r="A63" s="15"/>
      <c r="E63" s="12"/>
      <c r="F63" s="11"/>
      <c r="G63" s="30"/>
    </row>
    <row r="64" spans="1:8" x14ac:dyDescent="0.25">
      <c r="A64" s="15"/>
      <c r="E64" s="12"/>
      <c r="F64" s="11"/>
      <c r="G64" s="30"/>
    </row>
    <row r="65" spans="1:7" x14ac:dyDescent="0.25">
      <c r="A65" s="15"/>
      <c r="E65" s="12"/>
      <c r="F65" s="11"/>
      <c r="G65" s="30"/>
    </row>
    <row r="66" spans="1:7" x14ac:dyDescent="0.25">
      <c r="A66" s="17"/>
      <c r="B66" s="12"/>
      <c r="C66" s="12"/>
      <c r="D66" s="12"/>
      <c r="E66" s="12"/>
      <c r="F66" s="11"/>
      <c r="G66" s="30"/>
    </row>
    <row r="67" spans="1:7" x14ac:dyDescent="0.25">
      <c r="A67" s="13"/>
      <c r="B67" s="11"/>
      <c r="C67" s="11"/>
      <c r="D67" s="11"/>
      <c r="E67" s="12"/>
      <c r="F67" s="11"/>
      <c r="G67" s="30"/>
    </row>
    <row r="68" spans="1:7" x14ac:dyDescent="0.25">
      <c r="A68" s="13"/>
      <c r="B68" s="11"/>
      <c r="C68" s="11"/>
      <c r="D68" s="11"/>
      <c r="E68" s="12"/>
      <c r="F68" s="11"/>
      <c r="G68" s="30"/>
    </row>
    <row r="69" spans="1:7" x14ac:dyDescent="0.25">
      <c r="A69" s="15"/>
      <c r="E69" s="12"/>
      <c r="F69" s="11"/>
      <c r="G69" s="30"/>
    </row>
    <row r="70" spans="1:7" x14ac:dyDescent="0.25">
      <c r="A70" s="17"/>
      <c r="B70" s="12"/>
      <c r="C70" s="12"/>
      <c r="D70" s="12"/>
      <c r="E70" s="12"/>
      <c r="G70" s="30"/>
    </row>
    <row r="71" spans="1:7" x14ac:dyDescent="0.25">
      <c r="A71" s="17"/>
      <c r="B71" s="12"/>
      <c r="C71" s="12"/>
      <c r="D71" s="12"/>
      <c r="E71" s="12"/>
      <c r="G71" s="30"/>
    </row>
    <row r="72" spans="1:7" x14ac:dyDescent="0.25">
      <c r="A72" s="15"/>
      <c r="E72" s="12"/>
      <c r="F72" s="11"/>
      <c r="G72" s="30"/>
    </row>
    <row r="73" spans="1:7" x14ac:dyDescent="0.25">
      <c r="A73" s="15"/>
      <c r="E73" s="12"/>
      <c r="F73" s="11"/>
      <c r="G73" s="30"/>
    </row>
    <row r="74" spans="1:7" x14ac:dyDescent="0.25">
      <c r="A74" s="17"/>
      <c r="B74" s="12"/>
      <c r="C74" s="12"/>
      <c r="D74" s="12"/>
      <c r="E74" s="12"/>
      <c r="F74" s="11"/>
      <c r="G74" s="30"/>
    </row>
    <row r="75" spans="1:7" x14ac:dyDescent="0.25">
      <c r="A75" s="17"/>
      <c r="B75" s="12"/>
      <c r="C75" s="12"/>
      <c r="D75" s="12"/>
      <c r="E75" s="12"/>
      <c r="F75" s="11"/>
      <c r="G75" s="30"/>
    </row>
    <row r="76" spans="1:7" x14ac:dyDescent="0.25">
      <c r="A76" s="13"/>
      <c r="B76" s="11"/>
      <c r="C76" s="11"/>
      <c r="D76" s="11"/>
      <c r="E76" s="12"/>
      <c r="G76" s="30"/>
    </row>
    <row r="77" spans="1:7" x14ac:dyDescent="0.25">
      <c r="A77" s="17"/>
      <c r="B77" s="12"/>
      <c r="C77" s="12"/>
      <c r="D77" s="12"/>
      <c r="E77" s="12"/>
      <c r="G77" s="30"/>
    </row>
  </sheetData>
  <mergeCells count="1">
    <mergeCell ref="A2:E2"/>
  </mergeCells>
  <dataValidations count="4">
    <dataValidation type="list" allowBlank="1" showInputMessage="1" showErrorMessage="1" sqref="F11:F13" xr:uid="{D26E132D-1887-4FA2-AA53-8FEE4603E8AA}">
      <formula1>"ICT, Life Sciences, ECT, Diversified Sectors"</formula1>
    </dataValidation>
    <dataValidation type="list" allowBlank="1" showInputMessage="1" showErrorMessage="1" sqref="B11:B61" xr:uid="{228B57BC-AAC8-41D9-A255-80C9A2F59F69}">
      <formula1>$A$1:$A$3</formula1>
    </dataValidation>
    <dataValidation type="list" allowBlank="1" showInputMessage="1" showErrorMessage="1" sqref="G56 G49 G58 G11:G42" xr:uid="{8F4C9AC0-E641-46E1-B140-7C9B6ABB1974}">
      <formula1>"Seed, Early Stage, Late Stage, Growth Equity"</formula1>
    </dataValidation>
    <dataValidation type="list" allowBlank="1" showInputMessage="1" showErrorMessage="1" sqref="E62:E77 F14:F69 F72:F75" xr:uid="{CF2E0A50-5DFD-4FB0-85C8-A6A79343C46B}">
      <formula1>"Seed, Early Venture, Late Venture, Growth Equity"</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5AFE9-5B60-43B3-A805-91F314D71D1C}">
  <sheetPr codeName="Sheet9"/>
  <dimension ref="A1:K14"/>
  <sheetViews>
    <sheetView workbookViewId="0">
      <selection activeCell="H15" sqref="H15"/>
    </sheetView>
  </sheetViews>
  <sheetFormatPr defaultRowHeight="15" x14ac:dyDescent="0.25"/>
  <cols>
    <col min="1" max="1" width="22" customWidth="1"/>
    <col min="2" max="2" width="25.140625" customWidth="1"/>
    <col min="3" max="3" width="15.140625" bestFit="1" customWidth="1"/>
    <col min="4" max="4" width="15" customWidth="1"/>
    <col min="5" max="5" width="14.28515625" customWidth="1"/>
    <col min="6" max="6" width="20.28515625" customWidth="1"/>
    <col min="7" max="7" width="19" customWidth="1"/>
    <col min="8" max="8" width="25.140625" customWidth="1"/>
    <col min="9" max="9" width="22.140625" customWidth="1"/>
  </cols>
  <sheetData>
    <row r="1" spans="1:11" ht="15.75" x14ac:dyDescent="0.25">
      <c r="A1" s="61" t="s">
        <v>200</v>
      </c>
      <c r="B1" s="61"/>
      <c r="C1" s="61"/>
      <c r="D1" s="61"/>
      <c r="E1" s="61"/>
      <c r="F1" s="61"/>
      <c r="G1" s="61"/>
      <c r="H1" s="61"/>
      <c r="I1" s="61"/>
      <c r="J1" s="61"/>
      <c r="K1" s="61"/>
    </row>
    <row r="2" spans="1:11" ht="120.6" customHeight="1" x14ac:dyDescent="0.25">
      <c r="A2" s="242" t="s">
        <v>130</v>
      </c>
      <c r="B2" s="242"/>
      <c r="C2" s="242"/>
      <c r="D2" s="242"/>
      <c r="E2" s="242"/>
      <c r="F2" s="242"/>
      <c r="G2" s="242"/>
      <c r="H2" s="242"/>
      <c r="I2" s="242"/>
      <c r="J2" s="61"/>
      <c r="K2" s="61"/>
    </row>
    <row r="3" spans="1:11" ht="11.1" customHeight="1" x14ac:dyDescent="0.25">
      <c r="A3" s="169"/>
      <c r="B3" s="169"/>
      <c r="C3" s="169"/>
      <c r="D3" s="169"/>
      <c r="E3" s="169"/>
      <c r="F3" s="169"/>
      <c r="G3" s="169"/>
      <c r="H3" s="169"/>
      <c r="I3" s="61"/>
      <c r="J3" s="61"/>
      <c r="K3" s="61"/>
    </row>
    <row r="4" spans="1:11" ht="33" customHeight="1" x14ac:dyDescent="0.25">
      <c r="A4" s="63" t="s">
        <v>145</v>
      </c>
      <c r="B4" s="148" t="s">
        <v>195</v>
      </c>
      <c r="C4" s="148" t="s">
        <v>196</v>
      </c>
      <c r="D4" s="148" t="s">
        <v>128</v>
      </c>
      <c r="E4" s="148" t="s">
        <v>197</v>
      </c>
      <c r="F4" s="148" t="s">
        <v>198</v>
      </c>
      <c r="G4" s="148" t="s">
        <v>199</v>
      </c>
      <c r="H4" s="149" t="s">
        <v>129</v>
      </c>
      <c r="I4" s="149" t="s">
        <v>131</v>
      </c>
    </row>
    <row r="5" spans="1:11" ht="15.75" x14ac:dyDescent="0.25">
      <c r="A5" s="150" t="s">
        <v>75</v>
      </c>
      <c r="B5" s="239">
        <v>1176250000</v>
      </c>
      <c r="C5" s="227">
        <v>957355000</v>
      </c>
      <c r="D5" s="228">
        <v>0.81390435706695008</v>
      </c>
      <c r="E5" s="151">
        <v>176091000</v>
      </c>
      <c r="F5" s="151">
        <v>1098542000</v>
      </c>
      <c r="G5" s="151">
        <f>F5+E5</f>
        <v>1274633000</v>
      </c>
      <c r="H5" s="229">
        <f>(F5+E5)/C5</f>
        <v>1.3314110230792131</v>
      </c>
      <c r="I5" s="240">
        <v>0.1011</v>
      </c>
    </row>
    <row r="9" spans="1:11" x14ac:dyDescent="0.25">
      <c r="A9" s="58"/>
    </row>
    <row r="10" spans="1:11" x14ac:dyDescent="0.25">
      <c r="A10" s="58"/>
      <c r="H10" t="s">
        <v>14</v>
      </c>
    </row>
    <row r="13" spans="1:11" x14ac:dyDescent="0.25">
      <c r="B13" s="58"/>
    </row>
    <row r="14" spans="1:11" x14ac:dyDescent="0.25">
      <c r="B14" s="58"/>
    </row>
  </sheetData>
  <mergeCells count="1">
    <mergeCell ref="A2:I2"/>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D61AA-E893-4AE0-A6CD-D09ACD19C173}">
  <sheetPr codeName="Sheet10"/>
  <dimension ref="A1:H14"/>
  <sheetViews>
    <sheetView workbookViewId="0">
      <selection activeCell="H20" sqref="H20"/>
    </sheetView>
  </sheetViews>
  <sheetFormatPr defaultRowHeight="15" x14ac:dyDescent="0.25"/>
  <cols>
    <col min="1" max="1" width="42.5703125" customWidth="1"/>
    <col min="2" max="2" width="37.85546875" customWidth="1"/>
  </cols>
  <sheetData>
    <row r="1" spans="1:8" ht="20.100000000000001" customHeight="1" x14ac:dyDescent="0.25">
      <c r="A1" s="1" t="s">
        <v>201</v>
      </c>
      <c r="B1" s="1"/>
    </row>
    <row r="2" spans="1:8" ht="103.5" customHeight="1" x14ac:dyDescent="0.25">
      <c r="A2" s="242" t="s">
        <v>134</v>
      </c>
      <c r="B2" s="242"/>
      <c r="C2" s="66"/>
      <c r="D2" s="66"/>
      <c r="E2" s="66"/>
      <c r="F2" s="66"/>
      <c r="G2" s="66"/>
      <c r="H2" s="66"/>
    </row>
    <row r="3" spans="1:8" ht="18.600000000000001" customHeight="1" x14ac:dyDescent="0.25">
      <c r="A3" s="169"/>
      <c r="B3" s="169"/>
      <c r="C3" s="66"/>
      <c r="D3" s="66"/>
      <c r="E3" s="66"/>
      <c r="F3" s="66"/>
      <c r="G3" s="66"/>
      <c r="H3" s="66"/>
    </row>
    <row r="4" spans="1:8" ht="20.100000000000001" customHeight="1" x14ac:dyDescent="0.25">
      <c r="A4" s="63" t="s">
        <v>132</v>
      </c>
      <c r="B4" s="67" t="s">
        <v>133</v>
      </c>
    </row>
    <row r="5" spans="1:8" ht="20.100000000000001" customHeight="1" x14ac:dyDescent="0.25">
      <c r="A5" s="133" t="s">
        <v>6</v>
      </c>
      <c r="B5" s="143">
        <v>17500000</v>
      </c>
    </row>
    <row r="6" spans="1:8" ht="20.100000000000001" customHeight="1" x14ac:dyDescent="0.25">
      <c r="A6" s="133" t="s">
        <v>7</v>
      </c>
      <c r="B6" s="143">
        <v>5000000</v>
      </c>
    </row>
    <row r="7" spans="1:8" ht="20.100000000000001" customHeight="1" x14ac:dyDescent="0.25">
      <c r="A7" s="133" t="s">
        <v>8</v>
      </c>
      <c r="B7" s="143">
        <v>10000000</v>
      </c>
    </row>
    <row r="8" spans="1:8" ht="20.100000000000001" customHeight="1" x14ac:dyDescent="0.25">
      <c r="A8" s="133" t="s">
        <v>9</v>
      </c>
      <c r="B8" s="143">
        <v>5000000</v>
      </c>
    </row>
    <row r="9" spans="1:8" ht="20.100000000000001" customHeight="1" x14ac:dyDescent="0.25">
      <c r="A9" s="133" t="s">
        <v>10</v>
      </c>
      <c r="B9" s="143">
        <v>5000000</v>
      </c>
    </row>
    <row r="10" spans="1:8" ht="20.100000000000001" customHeight="1" x14ac:dyDescent="0.25">
      <c r="A10" s="65" t="s">
        <v>0</v>
      </c>
      <c r="B10" s="152">
        <v>42500000</v>
      </c>
    </row>
    <row r="11" spans="1:8" x14ac:dyDescent="0.25">
      <c r="A11" s="58"/>
    </row>
    <row r="12" spans="1:8" x14ac:dyDescent="0.25">
      <c r="A12" s="58"/>
    </row>
    <row r="14" spans="1:8" x14ac:dyDescent="0.25">
      <c r="A14" t="s">
        <v>14</v>
      </c>
    </row>
  </sheetData>
  <mergeCells count="1">
    <mergeCell ref="A2:B2"/>
  </mergeCells>
  <phoneticPr fontId="10"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62F3E-D8A9-4F9C-BFDB-7FE1852C86B0}">
  <sheetPr codeName="Sheet11"/>
  <dimension ref="A1:E22"/>
  <sheetViews>
    <sheetView workbookViewId="0">
      <selection activeCell="E14" sqref="E14"/>
    </sheetView>
  </sheetViews>
  <sheetFormatPr defaultRowHeight="15" x14ac:dyDescent="0.25"/>
  <cols>
    <col min="1" max="1" width="28.140625" customWidth="1"/>
    <col min="2" max="2" width="21.140625" customWidth="1"/>
    <col min="3" max="3" width="27" customWidth="1"/>
    <col min="4" max="4" width="29.140625" customWidth="1"/>
    <col min="5" max="5" width="35.7109375" customWidth="1"/>
  </cols>
  <sheetData>
    <row r="1" spans="1:5" ht="20.100000000000001" customHeight="1" x14ac:dyDescent="0.25">
      <c r="A1" s="1" t="s">
        <v>202</v>
      </c>
      <c r="B1" s="1"/>
      <c r="C1" s="1"/>
      <c r="D1" s="1"/>
      <c r="E1" s="1"/>
    </row>
    <row r="2" spans="1:5" ht="56.45" customHeight="1" x14ac:dyDescent="0.25">
      <c r="A2" s="242" t="s">
        <v>141</v>
      </c>
      <c r="B2" s="242"/>
      <c r="C2" s="242"/>
      <c r="D2" s="242"/>
      <c r="E2" s="242"/>
    </row>
    <row r="3" spans="1:5" ht="12.6" customHeight="1" x14ac:dyDescent="0.25">
      <c r="A3" s="169"/>
      <c r="B3" s="169"/>
      <c r="C3" s="169"/>
      <c r="D3" s="169"/>
      <c r="E3" s="169"/>
    </row>
    <row r="4" spans="1:5" ht="33.75" customHeight="1" x14ac:dyDescent="0.25">
      <c r="A4" s="186" t="s">
        <v>122</v>
      </c>
      <c r="B4" s="147" t="s">
        <v>108</v>
      </c>
      <c r="C4" s="147" t="s">
        <v>109</v>
      </c>
      <c r="D4" s="147" t="s">
        <v>138</v>
      </c>
      <c r="E4" s="67" t="s">
        <v>79</v>
      </c>
    </row>
    <row r="5" spans="1:5" ht="20.100000000000001" customHeight="1" x14ac:dyDescent="0.25">
      <c r="A5" s="133" t="s">
        <v>118</v>
      </c>
      <c r="B5" s="20">
        <v>3</v>
      </c>
      <c r="C5" s="180">
        <v>0.6</v>
      </c>
      <c r="D5" s="34">
        <v>20</v>
      </c>
      <c r="E5" s="182">
        <v>0.47058823529411764</v>
      </c>
    </row>
    <row r="6" spans="1:5" ht="20.100000000000001" customHeight="1" x14ac:dyDescent="0.25">
      <c r="A6" s="133" t="s">
        <v>119</v>
      </c>
      <c r="B6" s="20">
        <v>2</v>
      </c>
      <c r="C6" s="180">
        <v>0.4</v>
      </c>
      <c r="D6" s="34">
        <v>22.5</v>
      </c>
      <c r="E6" s="182">
        <v>0.52941176470588236</v>
      </c>
    </row>
    <row r="7" spans="1:5" ht="20.100000000000001" customHeight="1" x14ac:dyDescent="0.25">
      <c r="A7" s="133" t="s">
        <v>120</v>
      </c>
      <c r="B7" s="20">
        <v>0</v>
      </c>
      <c r="C7" s="180">
        <v>0</v>
      </c>
      <c r="D7" s="34">
        <v>0</v>
      </c>
      <c r="E7" s="182">
        <v>0</v>
      </c>
    </row>
    <row r="8" spans="1:5" ht="20.100000000000001" customHeight="1" x14ac:dyDescent="0.25">
      <c r="A8" s="133" t="s">
        <v>139</v>
      </c>
      <c r="B8" s="20">
        <v>0</v>
      </c>
      <c r="C8" s="180">
        <v>0</v>
      </c>
      <c r="D8" s="34">
        <v>0</v>
      </c>
      <c r="E8" s="182">
        <v>0</v>
      </c>
    </row>
    <row r="9" spans="1:5" ht="20.100000000000001" customHeight="1" x14ac:dyDescent="0.25">
      <c r="A9" s="65" t="s">
        <v>0</v>
      </c>
      <c r="B9" s="146">
        <v>5</v>
      </c>
      <c r="C9" s="181">
        <v>1</v>
      </c>
      <c r="D9" s="153">
        <v>42.5</v>
      </c>
      <c r="E9" s="183">
        <v>1</v>
      </c>
    </row>
    <row r="10" spans="1:5" ht="20.100000000000001" customHeight="1" x14ac:dyDescent="0.25">
      <c r="A10" s="9"/>
    </row>
    <row r="11" spans="1:5" ht="20.100000000000001" customHeight="1" x14ac:dyDescent="0.25"/>
    <row r="12" spans="1:5" ht="20.100000000000001" customHeight="1" x14ac:dyDescent="0.25">
      <c r="A12" s="5"/>
      <c r="B12" s="5"/>
      <c r="C12" s="5"/>
      <c r="D12" s="5"/>
      <c r="E12" s="5"/>
    </row>
    <row r="13" spans="1:5" ht="20.100000000000001" customHeight="1" x14ac:dyDescent="0.25">
      <c r="A13" s="1"/>
      <c r="B13" s="244"/>
      <c r="C13" s="244"/>
      <c r="D13" s="244"/>
      <c r="E13" s="244"/>
    </row>
    <row r="14" spans="1:5" ht="20.100000000000001" customHeight="1" x14ac:dyDescent="0.25">
      <c r="A14" s="60"/>
      <c r="B14" s="59"/>
      <c r="C14" s="59"/>
      <c r="D14" s="59"/>
      <c r="E14" s="59"/>
    </row>
    <row r="15" spans="1:5" ht="20.100000000000001" customHeight="1" x14ac:dyDescent="0.25">
      <c r="A15" s="5"/>
      <c r="B15" s="24"/>
      <c r="C15" s="8"/>
      <c r="D15" s="34"/>
      <c r="E15" s="8"/>
    </row>
    <row r="16" spans="1:5" ht="20.100000000000001" customHeight="1" x14ac:dyDescent="0.25">
      <c r="A16" s="5"/>
      <c r="B16" s="24"/>
      <c r="C16" s="8"/>
      <c r="D16" s="34"/>
      <c r="E16" s="8"/>
    </row>
    <row r="17" spans="1:5" ht="20.100000000000001" customHeight="1" x14ac:dyDescent="0.25">
      <c r="A17" s="5"/>
      <c r="B17" s="24"/>
      <c r="C17" s="8"/>
      <c r="D17" s="34"/>
      <c r="E17" s="8"/>
    </row>
    <row r="18" spans="1:5" ht="20.100000000000001" customHeight="1" x14ac:dyDescent="0.25">
      <c r="A18" s="5"/>
      <c r="B18" s="24"/>
      <c r="C18" s="8"/>
      <c r="D18" s="34"/>
      <c r="E18" s="8"/>
    </row>
    <row r="19" spans="1:5" ht="15.75" x14ac:dyDescent="0.25">
      <c r="A19" s="5"/>
      <c r="B19" s="27"/>
      <c r="C19" s="26"/>
      <c r="D19" s="23"/>
      <c r="E19" s="26"/>
    </row>
    <row r="22" spans="1:5" x14ac:dyDescent="0.25">
      <c r="B22" t="s">
        <v>14</v>
      </c>
    </row>
  </sheetData>
  <mergeCells count="3">
    <mergeCell ref="D13:E13"/>
    <mergeCell ref="B13:C13"/>
    <mergeCell ref="A2:E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3FF0E-C09C-4587-85D9-3F3C38074622}">
  <sheetPr codeName="Sheet13"/>
  <dimension ref="A1:E16"/>
  <sheetViews>
    <sheetView workbookViewId="0">
      <selection activeCell="F26" sqref="F26"/>
    </sheetView>
  </sheetViews>
  <sheetFormatPr defaultRowHeight="15" x14ac:dyDescent="0.25"/>
  <cols>
    <col min="1" max="1" width="54" customWidth="1"/>
    <col min="2" max="2" width="21.7109375" customWidth="1"/>
    <col min="3" max="3" width="28.140625" customWidth="1"/>
    <col min="4" max="4" width="31.140625" customWidth="1"/>
    <col min="5" max="5" width="36.7109375" customWidth="1"/>
  </cols>
  <sheetData>
    <row r="1" spans="1:5" ht="20.100000000000001" customHeight="1" x14ac:dyDescent="0.25">
      <c r="A1" s="1" t="s">
        <v>203</v>
      </c>
      <c r="B1" s="1"/>
      <c r="C1" s="1"/>
      <c r="D1" s="1"/>
      <c r="E1" s="1"/>
    </row>
    <row r="2" spans="1:5" ht="55.5" customHeight="1" x14ac:dyDescent="0.25">
      <c r="A2" s="242" t="s">
        <v>141</v>
      </c>
      <c r="B2" s="242"/>
      <c r="C2" s="242"/>
      <c r="D2" s="242"/>
      <c r="E2" s="242"/>
    </row>
    <row r="3" spans="1:5" ht="15.95" customHeight="1" x14ac:dyDescent="0.25">
      <c r="A3" s="169"/>
      <c r="B3" s="169"/>
      <c r="C3" s="169"/>
      <c r="D3" s="169"/>
      <c r="E3" s="169"/>
    </row>
    <row r="4" spans="1:5" ht="20.100000000000001" customHeight="1" x14ac:dyDescent="0.25">
      <c r="A4" s="65" t="s">
        <v>124</v>
      </c>
      <c r="B4" s="74" t="s">
        <v>108</v>
      </c>
      <c r="C4" s="74" t="s">
        <v>109</v>
      </c>
      <c r="D4" s="74" t="s">
        <v>138</v>
      </c>
      <c r="E4" s="68" t="s">
        <v>79</v>
      </c>
    </row>
    <row r="5" spans="1:5" ht="20.100000000000001" customHeight="1" x14ac:dyDescent="0.25">
      <c r="A5" s="145" t="s">
        <v>125</v>
      </c>
      <c r="B5" s="20">
        <v>0</v>
      </c>
      <c r="C5" s="180">
        <v>0</v>
      </c>
      <c r="D5" s="34">
        <v>0</v>
      </c>
      <c r="E5" s="182">
        <v>0</v>
      </c>
    </row>
    <row r="6" spans="1:5" ht="20.100000000000001" customHeight="1" x14ac:dyDescent="0.25">
      <c r="A6" s="145" t="s">
        <v>127</v>
      </c>
      <c r="B6" s="20">
        <v>5</v>
      </c>
      <c r="C6" s="180">
        <v>1</v>
      </c>
      <c r="D6" s="34">
        <v>42.5</v>
      </c>
      <c r="E6" s="182">
        <v>1</v>
      </c>
    </row>
    <row r="7" spans="1:5" ht="20.100000000000001" customHeight="1" x14ac:dyDescent="0.25">
      <c r="A7" s="145" t="s">
        <v>126</v>
      </c>
      <c r="B7" s="20">
        <v>0</v>
      </c>
      <c r="C7" s="180">
        <v>0</v>
      </c>
      <c r="D7" s="34">
        <v>0</v>
      </c>
      <c r="E7" s="182">
        <v>0</v>
      </c>
    </row>
    <row r="8" spans="1:5" ht="20.100000000000001" customHeight="1" x14ac:dyDescent="0.25">
      <c r="A8" s="63" t="s">
        <v>0</v>
      </c>
      <c r="B8" s="146">
        <v>5</v>
      </c>
      <c r="C8" s="181">
        <v>1</v>
      </c>
      <c r="D8" s="153">
        <v>42.5</v>
      </c>
      <c r="E8" s="183">
        <v>1</v>
      </c>
    </row>
    <row r="9" spans="1:5" ht="20.100000000000001" customHeight="1" x14ac:dyDescent="0.25">
      <c r="A9" s="9"/>
    </row>
    <row r="10" spans="1:5" ht="20.100000000000001" customHeight="1" x14ac:dyDescent="0.25">
      <c r="A10" s="1"/>
      <c r="B10" s="1"/>
      <c r="C10" s="1"/>
      <c r="D10" s="1"/>
      <c r="E10" s="1"/>
    </row>
    <row r="11" spans="1:5" ht="20.100000000000001" customHeight="1" x14ac:dyDescent="0.25">
      <c r="A11" s="1"/>
      <c r="B11" s="1"/>
      <c r="C11" s="1"/>
      <c r="D11" s="1"/>
      <c r="E11" s="1"/>
    </row>
    <row r="12" spans="1:5" ht="20.100000000000001" customHeight="1" x14ac:dyDescent="0.25">
      <c r="A12" s="60"/>
      <c r="B12" s="59"/>
      <c r="C12" s="59"/>
      <c r="D12" s="59"/>
      <c r="E12" s="59"/>
    </row>
    <row r="13" spans="1:5" ht="20.100000000000001" customHeight="1" x14ac:dyDescent="0.25">
      <c r="A13" s="1"/>
      <c r="B13" s="24"/>
      <c r="C13" s="25"/>
      <c r="D13" s="10"/>
      <c r="E13" s="25"/>
    </row>
    <row r="14" spans="1:5" ht="20.100000000000001" customHeight="1" x14ac:dyDescent="0.25">
      <c r="A14" s="1"/>
      <c r="B14" s="24"/>
      <c r="C14" s="25"/>
      <c r="D14" s="10"/>
      <c r="E14" s="25"/>
    </row>
    <row r="15" spans="1:5" ht="15.75" x14ac:dyDescent="0.25">
      <c r="A15" s="1"/>
      <c r="B15" s="24"/>
      <c r="C15" s="25"/>
      <c r="D15" s="10"/>
      <c r="E15" s="25"/>
    </row>
    <row r="16" spans="1:5" ht="15.75" x14ac:dyDescent="0.25">
      <c r="A16" s="1"/>
      <c r="B16" s="27"/>
      <c r="C16" s="26"/>
      <c r="D16" s="23"/>
      <c r="E16" s="26"/>
    </row>
  </sheetData>
  <mergeCells count="1">
    <mergeCell ref="A2:E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342F9-B8DB-4302-A4C8-247412103712}">
  <sheetPr codeName="Sheet15"/>
  <dimension ref="A1:K16"/>
  <sheetViews>
    <sheetView workbookViewId="0">
      <selection activeCell="D16" sqref="D16"/>
    </sheetView>
  </sheetViews>
  <sheetFormatPr defaultColWidth="8.7109375" defaultRowHeight="15" x14ac:dyDescent="0.25"/>
  <cols>
    <col min="1" max="1" width="27.7109375" style="77" customWidth="1"/>
    <col min="2" max="2" width="22.42578125" style="77" customWidth="1"/>
    <col min="3" max="3" width="24.5703125" style="77" customWidth="1"/>
    <col min="4" max="4" width="23.85546875" style="77" customWidth="1"/>
    <col min="5" max="5" width="26.7109375" style="77" customWidth="1"/>
    <col min="6" max="6" width="17.140625" style="77" customWidth="1"/>
    <col min="7" max="7" width="20.5703125" style="77" customWidth="1"/>
    <col min="8" max="8" width="27.42578125" style="77" customWidth="1"/>
    <col min="9" max="16384" width="8.7109375" style="77"/>
  </cols>
  <sheetData>
    <row r="1" spans="1:11" ht="20.100000000000001" customHeight="1" x14ac:dyDescent="0.25">
      <c r="A1" s="61" t="s">
        <v>205</v>
      </c>
      <c r="B1" s="61"/>
      <c r="C1" s="61"/>
      <c r="D1" s="61"/>
      <c r="E1" s="61"/>
      <c r="F1" s="61"/>
      <c r="G1" s="61"/>
      <c r="H1" s="61"/>
      <c r="I1" s="61"/>
      <c r="J1" s="61"/>
      <c r="K1" s="61"/>
    </row>
    <row r="2" spans="1:11" ht="105.75" customHeight="1" x14ac:dyDescent="0.25">
      <c r="A2" s="243" t="s">
        <v>143</v>
      </c>
      <c r="B2" s="243"/>
      <c r="C2" s="243"/>
      <c r="D2" s="243"/>
      <c r="E2" s="243"/>
      <c r="F2" s="243"/>
      <c r="G2" s="243"/>
      <c r="H2" s="243"/>
      <c r="I2" s="61"/>
      <c r="J2" s="61"/>
      <c r="K2" s="61"/>
    </row>
    <row r="3" spans="1:11" ht="16.5" customHeight="1" x14ac:dyDescent="0.25">
      <c r="A3" s="174"/>
      <c r="B3" s="174"/>
      <c r="C3" s="174"/>
      <c r="D3" s="174"/>
      <c r="E3" s="174"/>
      <c r="F3" s="174"/>
      <c r="G3" s="174"/>
      <c r="H3" s="174"/>
      <c r="I3" s="61"/>
      <c r="J3" s="61"/>
      <c r="K3" s="61"/>
    </row>
    <row r="4" spans="1:11" ht="32.450000000000003" customHeight="1" x14ac:dyDescent="0.25">
      <c r="A4" s="63" t="s">
        <v>145</v>
      </c>
      <c r="B4" s="148" t="s">
        <v>204</v>
      </c>
      <c r="C4" s="148" t="s">
        <v>196</v>
      </c>
      <c r="D4" s="148" t="s">
        <v>128</v>
      </c>
      <c r="E4" s="148" t="s">
        <v>197</v>
      </c>
      <c r="F4" s="148" t="s">
        <v>198</v>
      </c>
      <c r="G4" s="148" t="s">
        <v>199</v>
      </c>
      <c r="H4" s="149" t="s">
        <v>129</v>
      </c>
      <c r="I4" s="154"/>
    </row>
    <row r="5" spans="1:11" ht="27" customHeight="1" x14ac:dyDescent="0.25">
      <c r="A5" s="155" t="s">
        <v>144</v>
      </c>
      <c r="B5" s="151">
        <v>42500000</v>
      </c>
      <c r="C5" s="227">
        <v>36563000</v>
      </c>
      <c r="D5" s="228">
        <f>C5/B5</f>
        <v>0.86030588235294114</v>
      </c>
      <c r="E5" s="151">
        <v>783000</v>
      </c>
      <c r="F5" s="151">
        <v>52276000</v>
      </c>
      <c r="G5" s="151">
        <f>F5+E5</f>
        <v>53059000</v>
      </c>
      <c r="H5" s="229">
        <f>G5/C5</f>
        <v>1.4511664797746355</v>
      </c>
    </row>
    <row r="6" spans="1:11" ht="20.100000000000001" customHeight="1" x14ac:dyDescent="0.25">
      <c r="A6" s="75"/>
      <c r="B6" s="156"/>
      <c r="C6" s="157"/>
      <c r="D6" s="75"/>
      <c r="E6" s="157"/>
    </row>
    <row r="7" spans="1:11" ht="20.100000000000001" customHeight="1" x14ac:dyDescent="0.25">
      <c r="A7" s="75"/>
      <c r="B7" s="156"/>
      <c r="C7" s="157"/>
      <c r="D7" s="75"/>
      <c r="E7" s="157"/>
    </row>
    <row r="8" spans="1:11" ht="20.100000000000001" customHeight="1" x14ac:dyDescent="0.25">
      <c r="A8" s="75"/>
      <c r="B8" s="156"/>
      <c r="C8" s="157"/>
      <c r="D8" s="158"/>
      <c r="E8" s="157"/>
    </row>
    <row r="9" spans="1:11" ht="20.100000000000001" customHeight="1" x14ac:dyDescent="0.25">
      <c r="A9" s="124"/>
    </row>
    <row r="12" spans="1:11" x14ac:dyDescent="0.25">
      <c r="B12" s="128"/>
      <c r="C12" s="128" t="s">
        <v>151</v>
      </c>
    </row>
    <row r="13" spans="1:11" x14ac:dyDescent="0.25">
      <c r="B13" s="128"/>
      <c r="C13" s="159"/>
    </row>
    <row r="16" spans="1:11" x14ac:dyDescent="0.25">
      <c r="C16" s="159"/>
    </row>
  </sheetData>
  <mergeCells count="1">
    <mergeCell ref="A2:H2"/>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6A70C-8D0A-45A3-83A1-EC4AA450E316}">
  <dimension ref="A1:F12"/>
  <sheetViews>
    <sheetView workbookViewId="0">
      <selection activeCell="B26" sqref="B26"/>
    </sheetView>
  </sheetViews>
  <sheetFormatPr defaultRowHeight="15" x14ac:dyDescent="0.25"/>
  <cols>
    <col min="1" max="1" width="30.140625" customWidth="1"/>
    <col min="2" max="2" width="41.28515625" customWidth="1"/>
    <col min="4" max="4" width="31.28515625" customWidth="1"/>
  </cols>
  <sheetData>
    <row r="1" spans="1:6" ht="20.100000000000001" customHeight="1" x14ac:dyDescent="0.25">
      <c r="A1" s="1" t="s">
        <v>206</v>
      </c>
      <c r="B1" s="1"/>
      <c r="C1" s="1"/>
      <c r="D1" s="1"/>
      <c r="E1" s="1"/>
      <c r="F1" s="1"/>
    </row>
    <row r="2" spans="1:6" ht="71.099999999999994" customHeight="1" x14ac:dyDescent="0.25">
      <c r="A2" s="242" t="s">
        <v>148</v>
      </c>
      <c r="B2" s="242"/>
      <c r="C2" s="66"/>
      <c r="D2" s="66"/>
      <c r="E2" s="66"/>
    </row>
    <row r="3" spans="1:6" ht="12" customHeight="1" x14ac:dyDescent="0.25">
      <c r="A3" s="169"/>
      <c r="B3" s="169"/>
      <c r="C3" s="66"/>
      <c r="D3" s="66"/>
      <c r="E3" s="66"/>
    </row>
    <row r="4" spans="1:6" ht="20.100000000000001" customHeight="1" x14ac:dyDescent="0.25">
      <c r="A4" s="65" t="s">
        <v>132</v>
      </c>
      <c r="B4" s="68" t="s">
        <v>147</v>
      </c>
    </row>
    <row r="5" spans="1:6" ht="20.100000000000001" customHeight="1" x14ac:dyDescent="0.25">
      <c r="A5" s="145" t="s">
        <v>11</v>
      </c>
      <c r="B5" s="143">
        <v>10000000</v>
      </c>
    </row>
    <row r="6" spans="1:6" ht="20.100000000000001" customHeight="1" x14ac:dyDescent="0.25">
      <c r="A6" s="145" t="s">
        <v>12</v>
      </c>
      <c r="B6" s="143">
        <v>20000000</v>
      </c>
    </row>
    <row r="7" spans="1:6" ht="20.100000000000001" customHeight="1" x14ac:dyDescent="0.25">
      <c r="A7" s="145" t="s">
        <v>13</v>
      </c>
      <c r="B7" s="143">
        <v>20000000</v>
      </c>
    </row>
    <row r="8" spans="1:6" ht="20.100000000000001" customHeight="1" x14ac:dyDescent="0.25">
      <c r="A8" s="65" t="s">
        <v>0</v>
      </c>
      <c r="B8" s="152">
        <v>50000000</v>
      </c>
    </row>
    <row r="9" spans="1:6" x14ac:dyDescent="0.25">
      <c r="A9" s="58"/>
    </row>
    <row r="10" spans="1:6" x14ac:dyDescent="0.25">
      <c r="A10" s="58"/>
    </row>
    <row r="12" spans="1:6" x14ac:dyDescent="0.25">
      <c r="E12" t="s">
        <v>14</v>
      </c>
    </row>
  </sheetData>
  <mergeCells count="1">
    <mergeCell ref="A2:B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F413A-AA24-4FB1-978A-AD51D49E4A72}">
  <sheetPr codeName="Sheet12"/>
  <dimension ref="A1:E18"/>
  <sheetViews>
    <sheetView workbookViewId="0">
      <selection activeCell="D15" sqref="D15"/>
    </sheetView>
  </sheetViews>
  <sheetFormatPr defaultColWidth="8.7109375" defaultRowHeight="15" x14ac:dyDescent="0.25"/>
  <cols>
    <col min="1" max="1" width="29" style="77" customWidth="1"/>
    <col min="2" max="2" width="20.5703125" style="77" customWidth="1"/>
    <col min="3" max="3" width="27" style="77" customWidth="1"/>
    <col min="4" max="4" width="29" style="77" customWidth="1"/>
    <col min="5" max="5" width="35" style="77" customWidth="1"/>
    <col min="6" max="16384" width="8.7109375" style="77"/>
  </cols>
  <sheetData>
    <row r="1" spans="1:5" ht="20.100000000000001" customHeight="1" x14ac:dyDescent="0.25">
      <c r="A1" s="75" t="s">
        <v>207</v>
      </c>
      <c r="B1" s="75"/>
      <c r="C1" s="75"/>
      <c r="D1" s="75"/>
      <c r="E1" s="75"/>
    </row>
    <row r="2" spans="1:5" ht="57.95" customHeight="1" x14ac:dyDescent="0.25">
      <c r="A2" s="243" t="s">
        <v>148</v>
      </c>
      <c r="B2" s="243"/>
      <c r="C2" s="243"/>
      <c r="D2" s="243"/>
      <c r="E2" s="243"/>
    </row>
    <row r="3" spans="1:5" ht="11.45" customHeight="1" x14ac:dyDescent="0.25">
      <c r="A3" s="174"/>
      <c r="B3" s="174"/>
      <c r="C3" s="174"/>
      <c r="D3" s="174"/>
      <c r="E3" s="174"/>
    </row>
    <row r="4" spans="1:5" ht="30" customHeight="1" x14ac:dyDescent="0.25">
      <c r="A4" s="209" t="s">
        <v>122</v>
      </c>
      <c r="B4" s="138" t="s">
        <v>108</v>
      </c>
      <c r="C4" s="138" t="s">
        <v>109</v>
      </c>
      <c r="D4" s="138" t="s">
        <v>138</v>
      </c>
      <c r="E4" s="139" t="s">
        <v>79</v>
      </c>
    </row>
    <row r="5" spans="1:5" ht="20.100000000000001" customHeight="1" x14ac:dyDescent="0.25">
      <c r="A5" s="83" t="s">
        <v>118</v>
      </c>
      <c r="B5" s="140">
        <v>0</v>
      </c>
      <c r="C5" s="184">
        <v>0</v>
      </c>
      <c r="D5" s="86">
        <v>0</v>
      </c>
      <c r="E5" s="175">
        <v>0</v>
      </c>
    </row>
    <row r="6" spans="1:5" ht="20.100000000000001" customHeight="1" x14ac:dyDescent="0.25">
      <c r="A6" s="83" t="s">
        <v>119</v>
      </c>
      <c r="B6" s="140">
        <v>2</v>
      </c>
      <c r="C6" s="184">
        <v>0.66666666666666663</v>
      </c>
      <c r="D6" s="86">
        <v>30</v>
      </c>
      <c r="E6" s="175">
        <v>0.6</v>
      </c>
    </row>
    <row r="7" spans="1:5" ht="20.100000000000001" customHeight="1" x14ac:dyDescent="0.25">
      <c r="A7" s="83" t="s">
        <v>120</v>
      </c>
      <c r="B7" s="140">
        <v>1</v>
      </c>
      <c r="C7" s="184">
        <v>0.33333333333333331</v>
      </c>
      <c r="D7" s="86">
        <v>20</v>
      </c>
      <c r="E7" s="175">
        <v>0.4</v>
      </c>
    </row>
    <row r="8" spans="1:5" ht="20.100000000000001" customHeight="1" x14ac:dyDescent="0.25">
      <c r="A8" s="83" t="s">
        <v>139</v>
      </c>
      <c r="B8" s="140">
        <v>0</v>
      </c>
      <c r="C8" s="184">
        <v>0</v>
      </c>
      <c r="D8" s="86">
        <v>0</v>
      </c>
      <c r="E8" s="175">
        <v>0</v>
      </c>
    </row>
    <row r="9" spans="1:5" ht="20.100000000000001" customHeight="1" x14ac:dyDescent="0.25">
      <c r="A9" s="64" t="s">
        <v>0</v>
      </c>
      <c r="B9" s="141">
        <v>3</v>
      </c>
      <c r="C9" s="179">
        <v>1</v>
      </c>
      <c r="D9" s="164">
        <v>50</v>
      </c>
      <c r="E9" s="176">
        <v>1</v>
      </c>
    </row>
    <row r="10" spans="1:5" ht="20.100000000000001" customHeight="1" x14ac:dyDescent="0.25">
      <c r="A10" s="124"/>
    </row>
    <row r="11" spans="1:5" ht="20.100000000000001" customHeight="1" x14ac:dyDescent="0.25">
      <c r="A11" s="245"/>
      <c r="B11" s="245"/>
      <c r="C11" s="245"/>
      <c r="D11" s="245"/>
      <c r="E11" s="245"/>
    </row>
    <row r="12" spans="1:5" ht="20.100000000000001" customHeight="1" x14ac:dyDescent="0.25">
      <c r="A12" s="75"/>
      <c r="B12" s="89"/>
      <c r="C12" s="89"/>
      <c r="D12" s="246"/>
      <c r="E12" s="246"/>
    </row>
    <row r="13" spans="1:5" ht="20.100000000000001" customHeight="1" x14ac:dyDescent="0.25">
      <c r="A13" s="89"/>
      <c r="B13" s="56"/>
      <c r="C13" s="56"/>
      <c r="D13" s="56"/>
      <c r="E13" s="56"/>
    </row>
    <row r="14" spans="1:5" ht="20.100000000000001" customHeight="1" x14ac:dyDescent="0.25">
      <c r="A14" s="75"/>
      <c r="B14" s="160"/>
      <c r="C14" s="161"/>
      <c r="D14" s="86"/>
      <c r="E14" s="161"/>
    </row>
    <row r="15" spans="1:5" ht="20.100000000000001" customHeight="1" x14ac:dyDescent="0.25">
      <c r="A15" s="75"/>
      <c r="B15" s="160"/>
      <c r="C15" s="161"/>
      <c r="D15" s="86"/>
      <c r="E15" s="161" t="s">
        <v>14</v>
      </c>
    </row>
    <row r="16" spans="1:5" ht="20.100000000000001" customHeight="1" x14ac:dyDescent="0.25">
      <c r="A16" s="75"/>
      <c r="B16" s="160"/>
      <c r="C16" s="161"/>
      <c r="D16" s="86"/>
      <c r="E16" s="161"/>
    </row>
    <row r="17" spans="1:5" ht="20.100000000000001" customHeight="1" x14ac:dyDescent="0.25">
      <c r="A17" s="75"/>
      <c r="B17" s="160"/>
      <c r="C17" s="161"/>
      <c r="D17" s="86"/>
      <c r="E17" s="161"/>
    </row>
    <row r="18" spans="1:5" ht="20.100000000000001" customHeight="1" x14ac:dyDescent="0.25">
      <c r="A18" s="75"/>
      <c r="B18" s="156"/>
      <c r="C18" s="157"/>
      <c r="D18" s="162"/>
      <c r="E18" s="157"/>
    </row>
  </sheetData>
  <mergeCells count="3">
    <mergeCell ref="A11:E11"/>
    <mergeCell ref="D12:E12"/>
    <mergeCell ref="A2:E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721E-14A0-4C96-88F3-1B7992D4D8F7}">
  <sheetPr codeName="Sheet14"/>
  <dimension ref="A1:E16"/>
  <sheetViews>
    <sheetView workbookViewId="0">
      <selection activeCell="A16" sqref="A16"/>
    </sheetView>
  </sheetViews>
  <sheetFormatPr defaultColWidth="8.7109375" defaultRowHeight="15" x14ac:dyDescent="0.25"/>
  <cols>
    <col min="1" max="1" width="54.140625" style="77" customWidth="1"/>
    <col min="2" max="2" width="20.42578125" style="77" bestFit="1" customWidth="1"/>
    <col min="3" max="3" width="26.85546875" style="77" customWidth="1"/>
    <col min="4" max="4" width="29.140625" style="77" customWidth="1"/>
    <col min="5" max="5" width="35.42578125" style="77" customWidth="1"/>
    <col min="6" max="16384" width="8.7109375" style="77"/>
  </cols>
  <sheetData>
    <row r="1" spans="1:5" ht="20.100000000000001" customHeight="1" x14ac:dyDescent="0.25">
      <c r="A1" s="75" t="s">
        <v>208</v>
      </c>
      <c r="B1" s="75"/>
      <c r="C1" s="75"/>
      <c r="D1" s="75"/>
      <c r="E1" s="75"/>
    </row>
    <row r="2" spans="1:5" ht="63" customHeight="1" x14ac:dyDescent="0.25">
      <c r="A2" s="243" t="s">
        <v>148</v>
      </c>
      <c r="B2" s="243"/>
      <c r="C2" s="243"/>
      <c r="D2" s="243"/>
      <c r="E2" s="243"/>
    </row>
    <row r="3" spans="1:5" ht="15" customHeight="1" x14ac:dyDescent="0.25">
      <c r="A3" s="174"/>
      <c r="B3" s="174"/>
      <c r="C3" s="174"/>
      <c r="D3" s="174"/>
      <c r="E3" s="174"/>
    </row>
    <row r="4" spans="1:5" ht="20.100000000000001" customHeight="1" x14ac:dyDescent="0.25">
      <c r="A4" s="64" t="s">
        <v>124</v>
      </c>
      <c r="B4" s="134" t="s">
        <v>108</v>
      </c>
      <c r="C4" s="134" t="s">
        <v>109</v>
      </c>
      <c r="D4" s="134" t="s">
        <v>138</v>
      </c>
      <c r="E4" s="212" t="s">
        <v>79</v>
      </c>
    </row>
    <row r="5" spans="1:5" ht="20.100000000000001" customHeight="1" x14ac:dyDescent="0.25">
      <c r="A5" s="83" t="s">
        <v>125</v>
      </c>
      <c r="B5" s="140">
        <v>3</v>
      </c>
      <c r="C5" s="78">
        <v>1</v>
      </c>
      <c r="D5" s="166">
        <v>50</v>
      </c>
      <c r="E5" s="177">
        <v>1</v>
      </c>
    </row>
    <row r="6" spans="1:5" ht="20.100000000000001" customHeight="1" x14ac:dyDescent="0.25">
      <c r="A6" s="83" t="s">
        <v>127</v>
      </c>
      <c r="B6" s="140">
        <v>0</v>
      </c>
      <c r="C6" s="78">
        <v>0</v>
      </c>
      <c r="D6" s="166">
        <v>0</v>
      </c>
      <c r="E6" s="177">
        <v>0</v>
      </c>
    </row>
    <row r="7" spans="1:5" ht="20.100000000000001" customHeight="1" x14ac:dyDescent="0.25">
      <c r="A7" s="83" t="s">
        <v>126</v>
      </c>
      <c r="B7" s="140">
        <v>0</v>
      </c>
      <c r="C7" s="78">
        <v>0</v>
      </c>
      <c r="D7" s="166">
        <v>0</v>
      </c>
      <c r="E7" s="177">
        <v>0</v>
      </c>
    </row>
    <row r="8" spans="1:5" ht="20.100000000000001" customHeight="1" x14ac:dyDescent="0.25">
      <c r="A8" s="64" t="s">
        <v>0</v>
      </c>
      <c r="B8" s="141">
        <v>3</v>
      </c>
      <c r="C8" s="185">
        <v>1</v>
      </c>
      <c r="D8" s="164">
        <v>50</v>
      </c>
      <c r="E8" s="178">
        <v>1</v>
      </c>
    </row>
    <row r="9" spans="1:5" ht="20.100000000000001" customHeight="1" x14ac:dyDescent="0.25">
      <c r="A9" s="124"/>
    </row>
    <row r="10" spans="1:5" ht="20.100000000000001" customHeight="1" x14ac:dyDescent="0.25">
      <c r="A10" s="75"/>
      <c r="B10" s="75"/>
      <c r="C10" s="75"/>
      <c r="D10" s="75"/>
      <c r="E10" s="75"/>
    </row>
    <row r="11" spans="1:5" ht="20.100000000000001" customHeight="1" x14ac:dyDescent="0.25">
      <c r="A11" s="75"/>
      <c r="B11" s="75"/>
      <c r="C11" s="75"/>
      <c r="D11" s="75"/>
      <c r="E11" s="75"/>
    </row>
    <row r="12" spans="1:5" ht="20.100000000000001" customHeight="1" x14ac:dyDescent="0.25">
      <c r="A12" s="89"/>
      <c r="B12" s="56"/>
      <c r="C12" s="56"/>
      <c r="D12" s="56"/>
      <c r="E12" s="56"/>
    </row>
    <row r="13" spans="1:5" ht="20.100000000000001" customHeight="1" x14ac:dyDescent="0.25">
      <c r="A13" s="75"/>
      <c r="B13" s="160"/>
      <c r="C13" s="165"/>
      <c r="D13" s="166"/>
      <c r="E13" s="165"/>
    </row>
    <row r="14" spans="1:5" ht="20.100000000000001" customHeight="1" x14ac:dyDescent="0.25">
      <c r="A14" s="75"/>
      <c r="B14" s="160"/>
      <c r="C14" s="165"/>
      <c r="D14" s="166"/>
      <c r="E14" s="165"/>
    </row>
    <row r="15" spans="1:5" ht="15.75" x14ac:dyDescent="0.25">
      <c r="A15" s="75"/>
      <c r="B15" s="160"/>
      <c r="C15" s="165"/>
      <c r="D15" s="166"/>
      <c r="E15" s="165"/>
    </row>
    <row r="16" spans="1:5" ht="15.75" x14ac:dyDescent="0.25">
      <c r="A16" s="75"/>
      <c r="B16" s="156"/>
      <c r="C16" s="157"/>
      <c r="D16" s="162"/>
      <c r="E16" s="157"/>
    </row>
  </sheetData>
  <mergeCells count="1">
    <mergeCell ref="A2:E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54078-76BF-47C3-98CE-E2566F3553D5}">
  <sheetPr codeName="Sheet16"/>
  <dimension ref="A1:K17"/>
  <sheetViews>
    <sheetView workbookViewId="0">
      <selection activeCell="C11" sqref="C11"/>
    </sheetView>
  </sheetViews>
  <sheetFormatPr defaultColWidth="8.7109375" defaultRowHeight="15" x14ac:dyDescent="0.25"/>
  <cols>
    <col min="1" max="1" width="23.28515625" style="77" customWidth="1"/>
    <col min="2" max="2" width="20.28515625" style="77" customWidth="1"/>
    <col min="3" max="3" width="22.5703125" style="77" customWidth="1"/>
    <col min="4" max="4" width="16.7109375" style="77" customWidth="1"/>
    <col min="5" max="5" width="17.42578125" style="77" customWidth="1"/>
    <col min="6" max="6" width="17.85546875" style="77" customWidth="1"/>
    <col min="7" max="7" width="16.42578125" style="77" customWidth="1"/>
    <col min="8" max="8" width="23.5703125" style="77" customWidth="1"/>
    <col min="9" max="16384" width="8.7109375" style="77"/>
  </cols>
  <sheetData>
    <row r="1" spans="1:11" ht="20.100000000000001" customHeight="1" x14ac:dyDescent="0.25">
      <c r="A1" s="61" t="s">
        <v>209</v>
      </c>
      <c r="B1" s="61"/>
      <c r="C1" s="61"/>
      <c r="D1" s="61"/>
      <c r="E1" s="61"/>
      <c r="F1" s="61"/>
      <c r="G1" s="61"/>
      <c r="H1" s="61"/>
      <c r="I1" s="61"/>
      <c r="J1" s="61"/>
      <c r="K1" s="61"/>
    </row>
    <row r="2" spans="1:11" ht="105" customHeight="1" x14ac:dyDescent="0.25">
      <c r="A2" s="243" t="s">
        <v>152</v>
      </c>
      <c r="B2" s="243"/>
      <c r="C2" s="243"/>
      <c r="D2" s="243"/>
      <c r="E2" s="243"/>
      <c r="F2" s="243"/>
      <c r="G2" s="243"/>
      <c r="H2" s="243"/>
      <c r="I2" s="61"/>
      <c r="J2" s="61"/>
      <c r="K2" s="61"/>
    </row>
    <row r="3" spans="1:11" ht="17.45" customHeight="1" x14ac:dyDescent="0.25">
      <c r="A3" s="174"/>
      <c r="B3" s="174"/>
      <c r="C3" s="174"/>
      <c r="D3" s="174"/>
      <c r="E3" s="174"/>
      <c r="F3" s="174"/>
      <c r="G3" s="174"/>
      <c r="H3" s="174"/>
      <c r="I3" s="61"/>
      <c r="J3" s="61"/>
      <c r="K3" s="61"/>
    </row>
    <row r="4" spans="1:11" ht="30.75" customHeight="1" x14ac:dyDescent="0.25">
      <c r="A4" s="63" t="s">
        <v>145</v>
      </c>
      <c r="B4" s="148" t="s">
        <v>204</v>
      </c>
      <c r="C4" s="148" t="s">
        <v>196</v>
      </c>
      <c r="D4" s="148" t="s">
        <v>128</v>
      </c>
      <c r="E4" s="148" t="s">
        <v>197</v>
      </c>
      <c r="F4" s="148" t="s">
        <v>198</v>
      </c>
      <c r="G4" s="148" t="s">
        <v>199</v>
      </c>
      <c r="H4" s="149" t="s">
        <v>129</v>
      </c>
      <c r="I4" s="154"/>
    </row>
    <row r="5" spans="1:11" ht="24.6" customHeight="1" x14ac:dyDescent="0.25">
      <c r="A5" s="168" t="s">
        <v>153</v>
      </c>
      <c r="B5" s="167">
        <v>50000000</v>
      </c>
      <c r="C5" s="230">
        <v>39296000</v>
      </c>
      <c r="D5" s="231">
        <v>0.78591999999999995</v>
      </c>
      <c r="E5" s="167">
        <v>4853000</v>
      </c>
      <c r="F5" s="167">
        <v>40118000</v>
      </c>
      <c r="G5" s="167">
        <v>44971000</v>
      </c>
      <c r="H5" s="232">
        <v>1.1444167345276872</v>
      </c>
    </row>
    <row r="6" spans="1:11" ht="20.100000000000001" customHeight="1" x14ac:dyDescent="0.25">
      <c r="A6" s="75"/>
      <c r="B6" s="156"/>
      <c r="C6" s="157"/>
      <c r="D6" s="75"/>
      <c r="E6" s="157"/>
    </row>
    <row r="7" spans="1:11" ht="20.100000000000001" customHeight="1" x14ac:dyDescent="0.25">
      <c r="A7" s="75"/>
      <c r="B7" s="156"/>
      <c r="C7" s="157"/>
      <c r="D7" s="75"/>
      <c r="E7" s="157"/>
    </row>
    <row r="8" spans="1:11" ht="20.100000000000001" customHeight="1" x14ac:dyDescent="0.25">
      <c r="A8" s="75"/>
      <c r="B8" s="156"/>
      <c r="C8" s="157"/>
      <c r="D8" s="158"/>
      <c r="E8" s="157"/>
    </row>
    <row r="9" spans="1:11" ht="20.100000000000001" customHeight="1" x14ac:dyDescent="0.25">
      <c r="A9" s="124"/>
    </row>
    <row r="12" spans="1:11" x14ac:dyDescent="0.25">
      <c r="B12" s="128"/>
      <c r="C12" s="128"/>
    </row>
    <row r="13" spans="1:11" x14ac:dyDescent="0.25">
      <c r="B13" s="128"/>
      <c r="C13" s="159"/>
    </row>
    <row r="16" spans="1:11" x14ac:dyDescent="0.25">
      <c r="C16" s="159"/>
    </row>
    <row r="17" spans="5:5" x14ac:dyDescent="0.25">
      <c r="E17" s="77" t="s">
        <v>14</v>
      </c>
    </row>
  </sheetData>
  <mergeCells count="1">
    <mergeCell ref="A2:H2"/>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3920A-3A93-4417-B27A-B7E72FD3E0AC}">
  <sheetPr codeName="Sheet17"/>
  <dimension ref="A1:J22"/>
  <sheetViews>
    <sheetView workbookViewId="0">
      <selection activeCell="D13" sqref="D13"/>
    </sheetView>
  </sheetViews>
  <sheetFormatPr defaultRowHeight="15" x14ac:dyDescent="0.25"/>
  <cols>
    <col min="1" max="1" width="42.42578125" customWidth="1"/>
    <col min="2" max="2" width="21" customWidth="1"/>
    <col min="3" max="3" width="27" customWidth="1"/>
    <col min="4" max="4" width="28.42578125" customWidth="1"/>
    <col min="5" max="5" width="37" customWidth="1"/>
    <col min="7" max="7" width="11.7109375" customWidth="1"/>
  </cols>
  <sheetData>
    <row r="1" spans="1:10" ht="20.100000000000001" customHeight="1" x14ac:dyDescent="0.25">
      <c r="A1" s="1" t="s">
        <v>210</v>
      </c>
      <c r="B1" s="1"/>
      <c r="C1" s="1"/>
      <c r="D1" s="1"/>
      <c r="E1" s="1"/>
      <c r="F1" s="1"/>
      <c r="G1" s="1"/>
    </row>
    <row r="2" spans="1:10" ht="60.75" customHeight="1" x14ac:dyDescent="0.25">
      <c r="A2" s="242" t="s">
        <v>156</v>
      </c>
      <c r="B2" s="242"/>
      <c r="C2" s="242"/>
      <c r="D2" s="242"/>
      <c r="E2" s="242"/>
    </row>
    <row r="3" spans="1:10" ht="12.95" customHeight="1" x14ac:dyDescent="0.25">
      <c r="A3" s="169"/>
      <c r="B3" s="169"/>
      <c r="C3" s="169"/>
      <c r="D3" s="169"/>
      <c r="E3" s="169"/>
    </row>
    <row r="4" spans="1:10" ht="34.5" customHeight="1" x14ac:dyDescent="0.25">
      <c r="A4" s="186" t="s">
        <v>122</v>
      </c>
      <c r="B4" s="147" t="s">
        <v>108</v>
      </c>
      <c r="C4" s="147" t="s">
        <v>109</v>
      </c>
      <c r="D4" s="147" t="s">
        <v>138</v>
      </c>
      <c r="E4" s="67" t="s">
        <v>79</v>
      </c>
    </row>
    <row r="5" spans="1:10" ht="20.100000000000001" customHeight="1" x14ac:dyDescent="0.25">
      <c r="A5" s="83" t="s">
        <v>118</v>
      </c>
      <c r="B5" s="20">
        <v>12</v>
      </c>
      <c r="C5" s="180">
        <v>0.25531914893617019</v>
      </c>
      <c r="D5" s="221">
        <v>145.4</v>
      </c>
      <c r="E5" s="222">
        <v>0.15906355978558143</v>
      </c>
      <c r="I5" s="32"/>
      <c r="J5" s="32"/>
    </row>
    <row r="6" spans="1:10" ht="20.100000000000001" customHeight="1" x14ac:dyDescent="0.25">
      <c r="A6" s="83" t="s">
        <v>119</v>
      </c>
      <c r="B6" s="20">
        <v>22</v>
      </c>
      <c r="C6" s="180">
        <v>0.46808510638297873</v>
      </c>
      <c r="D6" s="221">
        <v>404.8</v>
      </c>
      <c r="E6" s="222">
        <v>0.44283995186522257</v>
      </c>
      <c r="I6" s="32"/>
      <c r="J6" s="32"/>
    </row>
    <row r="7" spans="1:10" ht="20.100000000000001" customHeight="1" x14ac:dyDescent="0.25">
      <c r="A7" s="83" t="s">
        <v>120</v>
      </c>
      <c r="B7" s="20">
        <v>5</v>
      </c>
      <c r="C7" s="180">
        <v>0.10638297872340426</v>
      </c>
      <c r="D7" s="221">
        <v>108.2</v>
      </c>
      <c r="E7" s="222">
        <v>0.11836779345804616</v>
      </c>
      <c r="I7" s="32"/>
      <c r="J7" s="32"/>
    </row>
    <row r="8" spans="1:10" ht="20.100000000000001" customHeight="1" x14ac:dyDescent="0.25">
      <c r="A8" s="83" t="s">
        <v>139</v>
      </c>
      <c r="B8" s="20">
        <v>8</v>
      </c>
      <c r="C8" s="180">
        <v>0.1702127659574468</v>
      </c>
      <c r="D8" s="221">
        <v>255.7</v>
      </c>
      <c r="E8" s="222">
        <v>0.27972869489114971</v>
      </c>
      <c r="I8" s="32"/>
      <c r="J8" s="32"/>
    </row>
    <row r="9" spans="1:10" ht="20.100000000000001" customHeight="1" x14ac:dyDescent="0.25">
      <c r="A9" s="65" t="s">
        <v>0</v>
      </c>
      <c r="B9" s="146">
        <v>47</v>
      </c>
      <c r="C9" s="181">
        <v>1</v>
      </c>
      <c r="D9" s="223">
        <f>SUM(D5:D8)</f>
        <v>914.10000000000014</v>
      </c>
      <c r="E9" s="224">
        <f>SUM(E5:E8)</f>
        <v>0.99999999999999989</v>
      </c>
      <c r="I9" s="33"/>
    </row>
    <row r="10" spans="1:10" ht="20.100000000000001" customHeight="1" x14ac:dyDescent="0.25">
      <c r="A10" s="9"/>
      <c r="D10" s="36"/>
    </row>
    <row r="11" spans="1:10" ht="20.100000000000001" customHeight="1" x14ac:dyDescent="0.25"/>
    <row r="12" spans="1:10" ht="20.100000000000001" customHeight="1" x14ac:dyDescent="0.25"/>
    <row r="13" spans="1:10" ht="20.100000000000001" customHeight="1" x14ac:dyDescent="0.25"/>
    <row r="14" spans="1:10" ht="20.100000000000001" customHeight="1" x14ac:dyDescent="0.25">
      <c r="C14" s="30"/>
    </row>
    <row r="15" spans="1:10" ht="20.100000000000001" customHeight="1" x14ac:dyDescent="0.25">
      <c r="C15" s="30"/>
    </row>
    <row r="16" spans="1:10" ht="20.100000000000001" customHeight="1" x14ac:dyDescent="0.25">
      <c r="C16" s="30"/>
    </row>
    <row r="17" spans="1:5" ht="20.100000000000001" customHeight="1" x14ac:dyDescent="0.25">
      <c r="C17" s="30"/>
    </row>
    <row r="18" spans="1:5" ht="20.100000000000001" customHeight="1" x14ac:dyDescent="0.25">
      <c r="A18" s="1"/>
      <c r="B18" s="24"/>
      <c r="C18" s="31"/>
      <c r="D18" s="4"/>
      <c r="E18" s="26"/>
    </row>
    <row r="19" spans="1:5" ht="20.100000000000001" customHeight="1" x14ac:dyDescent="0.25">
      <c r="A19" s="1"/>
      <c r="B19" s="24"/>
      <c r="C19" s="25"/>
      <c r="D19" s="4"/>
      <c r="E19" s="26"/>
    </row>
    <row r="20" spans="1:5" ht="20.100000000000001" customHeight="1" x14ac:dyDescent="0.25">
      <c r="A20" s="1"/>
      <c r="B20" s="24"/>
      <c r="C20" s="25"/>
      <c r="D20" s="4"/>
      <c r="E20" s="26"/>
    </row>
    <row r="21" spans="1:5" ht="15.75" x14ac:dyDescent="0.25">
      <c r="A21" s="1"/>
      <c r="B21" s="24"/>
      <c r="C21" s="25"/>
      <c r="D21" s="4"/>
      <c r="E21" s="26"/>
    </row>
    <row r="22" spans="1:5" ht="15.75" x14ac:dyDescent="0.25">
      <c r="A22" s="1"/>
      <c r="B22" s="27"/>
      <c r="C22" s="26"/>
      <c r="D22" s="23"/>
      <c r="E22" s="26"/>
    </row>
  </sheetData>
  <mergeCells count="1">
    <mergeCell ref="A2:E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B88C0-2725-4306-A230-F3BAFF04EDF8}">
  <sheetPr codeName="Sheet18"/>
  <dimension ref="A1:K17"/>
  <sheetViews>
    <sheetView workbookViewId="0">
      <selection activeCell="D16" sqref="D16"/>
    </sheetView>
  </sheetViews>
  <sheetFormatPr defaultRowHeight="15" x14ac:dyDescent="0.25"/>
  <cols>
    <col min="1" max="1" width="54.5703125" customWidth="1"/>
    <col min="2" max="2" width="20" customWidth="1"/>
    <col min="3" max="3" width="27.42578125" customWidth="1"/>
    <col min="4" max="4" width="30.85546875" customWidth="1"/>
    <col min="5" max="5" width="36.5703125" customWidth="1"/>
    <col min="7" max="7" width="11.5703125" customWidth="1"/>
  </cols>
  <sheetData>
    <row r="1" spans="1:11" ht="20.100000000000001" customHeight="1" x14ac:dyDescent="0.25">
      <c r="A1" s="1" t="s">
        <v>211</v>
      </c>
      <c r="B1" s="1"/>
      <c r="C1" s="1"/>
      <c r="D1" s="1"/>
      <c r="E1" s="1"/>
      <c r="F1" s="1"/>
      <c r="G1" s="1"/>
    </row>
    <row r="2" spans="1:11" ht="51.6" customHeight="1" x14ac:dyDescent="0.25">
      <c r="A2" s="242" t="s">
        <v>156</v>
      </c>
      <c r="B2" s="242"/>
      <c r="C2" s="242"/>
      <c r="D2" s="242"/>
      <c r="E2" s="242"/>
    </row>
    <row r="3" spans="1:11" ht="18" customHeight="1" x14ac:dyDescent="0.25">
      <c r="A3" s="169"/>
      <c r="B3" s="169"/>
      <c r="C3" s="169"/>
      <c r="D3" s="169"/>
      <c r="E3" s="169"/>
    </row>
    <row r="4" spans="1:11" ht="20.100000000000001" customHeight="1" x14ac:dyDescent="0.25">
      <c r="A4" s="65" t="s">
        <v>124</v>
      </c>
      <c r="B4" s="74" t="s">
        <v>108</v>
      </c>
      <c r="C4" s="74" t="s">
        <v>109</v>
      </c>
      <c r="D4" s="74" t="s">
        <v>138</v>
      </c>
      <c r="E4" s="68" t="s">
        <v>79</v>
      </c>
    </row>
    <row r="5" spans="1:11" ht="20.100000000000001" customHeight="1" x14ac:dyDescent="0.25">
      <c r="A5" s="145" t="s">
        <v>125</v>
      </c>
      <c r="B5" s="20">
        <v>3</v>
      </c>
      <c r="C5" s="180">
        <v>6.3829787234042548E-2</v>
      </c>
      <c r="D5" s="221">
        <v>60</v>
      </c>
      <c r="E5" s="222">
        <v>6.5638332786347231E-2</v>
      </c>
      <c r="H5" s="20"/>
      <c r="I5" s="32"/>
    </row>
    <row r="6" spans="1:11" ht="20.100000000000001" customHeight="1" x14ac:dyDescent="0.25">
      <c r="A6" s="145" t="s">
        <v>127</v>
      </c>
      <c r="B6" s="20">
        <v>36</v>
      </c>
      <c r="C6" s="180">
        <v>0.76595744680851063</v>
      </c>
      <c r="D6" s="221">
        <v>706.1</v>
      </c>
      <c r="E6" s="222">
        <v>0.77245377967399631</v>
      </c>
      <c r="H6" s="20"/>
      <c r="I6" s="32"/>
      <c r="K6" s="69"/>
    </row>
    <row r="7" spans="1:11" ht="20.100000000000001" customHeight="1" x14ac:dyDescent="0.25">
      <c r="A7" s="145" t="s">
        <v>126</v>
      </c>
      <c r="B7" s="20">
        <v>8</v>
      </c>
      <c r="C7" s="180">
        <v>0.1702127659574468</v>
      </c>
      <c r="D7" s="221">
        <v>148</v>
      </c>
      <c r="E7" s="222">
        <v>0.16190788753965649</v>
      </c>
      <c r="H7" s="20"/>
      <c r="I7" s="32"/>
    </row>
    <row r="8" spans="1:11" ht="20.100000000000001" customHeight="1" x14ac:dyDescent="0.25">
      <c r="A8" s="65" t="s">
        <v>0</v>
      </c>
      <c r="B8" s="146">
        <v>47</v>
      </c>
      <c r="C8" s="70">
        <v>1</v>
      </c>
      <c r="D8" s="223">
        <f>SUM(D5:D7)</f>
        <v>914.1</v>
      </c>
      <c r="E8" s="233">
        <f>SUM(E5:E7)</f>
        <v>1</v>
      </c>
      <c r="H8" s="21"/>
      <c r="I8" s="33"/>
    </row>
    <row r="9" spans="1:11" ht="20.100000000000001" customHeight="1" x14ac:dyDescent="0.25">
      <c r="A9" s="9"/>
    </row>
    <row r="10" spans="1:11" ht="20.100000000000001" customHeight="1" x14ac:dyDescent="0.25"/>
    <row r="11" spans="1:11" ht="20.100000000000001" customHeight="1" x14ac:dyDescent="0.25"/>
    <row r="12" spans="1:11" ht="20.100000000000001" customHeight="1" x14ac:dyDescent="0.25"/>
    <row r="13" spans="1:11" ht="20.100000000000001" customHeight="1" x14ac:dyDescent="0.25">
      <c r="D13" t="s">
        <v>14</v>
      </c>
    </row>
    <row r="14" spans="1:11" ht="15.75" x14ac:dyDescent="0.25">
      <c r="A14" s="1"/>
      <c r="B14" s="20"/>
      <c r="C14" s="8"/>
      <c r="D14" s="28"/>
      <c r="E14" s="22"/>
    </row>
    <row r="15" spans="1:11" ht="15.75" x14ac:dyDescent="0.25">
      <c r="A15" s="1"/>
      <c r="B15" s="20"/>
      <c r="C15" s="8"/>
      <c r="D15" s="7"/>
      <c r="E15" s="22"/>
    </row>
    <row r="16" spans="1:11" ht="15.75" x14ac:dyDescent="0.25">
      <c r="A16" s="1"/>
      <c r="B16" s="20"/>
      <c r="C16" s="8"/>
      <c r="D16" s="28"/>
      <c r="E16" s="22"/>
    </row>
    <row r="17" spans="1:5" ht="15.75" x14ac:dyDescent="0.25">
      <c r="A17" s="1"/>
      <c r="B17" s="21"/>
      <c r="C17" s="22"/>
      <c r="D17" s="23"/>
      <c r="E17" s="22"/>
    </row>
  </sheetData>
  <mergeCells count="1">
    <mergeCell ref="A2:E2"/>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7647D-2498-4302-BBF8-8D125DFEDD9A}">
  <dimension ref="A1:K18"/>
  <sheetViews>
    <sheetView workbookViewId="0">
      <selection activeCell="C22" sqref="C22"/>
    </sheetView>
  </sheetViews>
  <sheetFormatPr defaultRowHeight="15" x14ac:dyDescent="0.25"/>
  <cols>
    <col min="1" max="1" width="33.85546875" customWidth="1"/>
    <col min="2" max="2" width="45.140625" customWidth="1"/>
    <col min="3" max="3" width="69.28515625" customWidth="1"/>
    <col min="4" max="4" width="18.28515625" customWidth="1"/>
    <col min="5" max="5" width="24.5703125" customWidth="1"/>
    <col min="7" max="7" width="11.5703125" customWidth="1"/>
  </cols>
  <sheetData>
    <row r="1" spans="1:11" ht="20.100000000000001" customHeight="1" x14ac:dyDescent="0.25">
      <c r="A1" s="1" t="s">
        <v>212</v>
      </c>
      <c r="B1" s="1"/>
      <c r="C1" s="1"/>
      <c r="D1" s="1"/>
      <c r="E1" s="1"/>
      <c r="F1" s="1"/>
      <c r="G1" s="1"/>
    </row>
    <row r="2" spans="1:11" ht="65.25" customHeight="1" x14ac:dyDescent="0.25">
      <c r="A2" s="242" t="s">
        <v>165</v>
      </c>
      <c r="B2" s="242"/>
      <c r="C2" s="169"/>
      <c r="D2" s="169"/>
      <c r="E2" s="169"/>
    </row>
    <row r="3" spans="1:11" ht="17.100000000000001" customHeight="1" x14ac:dyDescent="0.25">
      <c r="A3" s="169"/>
      <c r="B3" s="169"/>
      <c r="C3" s="169"/>
      <c r="D3" s="169"/>
      <c r="E3" s="169"/>
    </row>
    <row r="4" spans="1:11" ht="34.5" customHeight="1" x14ac:dyDescent="0.25">
      <c r="A4" s="186" t="s">
        <v>158</v>
      </c>
      <c r="B4" s="149" t="s">
        <v>157</v>
      </c>
      <c r="C4" s="4"/>
      <c r="D4" s="1"/>
      <c r="E4" s="59"/>
    </row>
    <row r="5" spans="1:11" ht="20.100000000000001" customHeight="1" x14ac:dyDescent="0.25">
      <c r="A5" s="133" t="s">
        <v>159</v>
      </c>
      <c r="B5" s="222">
        <v>0.13200000000000001</v>
      </c>
      <c r="C5" s="8"/>
      <c r="D5" s="71"/>
      <c r="E5" s="72"/>
      <c r="H5" s="20"/>
      <c r="I5" s="32"/>
    </row>
    <row r="6" spans="1:11" ht="20.100000000000001" customHeight="1" x14ac:dyDescent="0.25">
      <c r="A6" s="133" t="s">
        <v>160</v>
      </c>
      <c r="B6" s="222">
        <v>0.49399999999999999</v>
      </c>
      <c r="C6" s="8"/>
      <c r="D6" s="71"/>
      <c r="E6" s="72"/>
      <c r="H6" s="20"/>
      <c r="I6" s="32"/>
      <c r="K6" s="69"/>
    </row>
    <row r="7" spans="1:11" ht="20.100000000000001" customHeight="1" x14ac:dyDescent="0.25">
      <c r="A7" s="133" t="s">
        <v>161</v>
      </c>
      <c r="B7" s="222">
        <v>0.19</v>
      </c>
      <c r="C7" s="8"/>
      <c r="D7" s="71"/>
      <c r="E7" s="72"/>
      <c r="H7" s="20"/>
      <c r="I7" s="32"/>
    </row>
    <row r="8" spans="1:11" ht="20.100000000000001" customHeight="1" x14ac:dyDescent="0.25">
      <c r="A8" s="133" t="s">
        <v>162</v>
      </c>
      <c r="B8" s="222">
        <v>0.1</v>
      </c>
      <c r="C8" s="8"/>
      <c r="D8" s="73"/>
      <c r="E8" s="22"/>
      <c r="H8" s="21"/>
      <c r="I8" s="33"/>
    </row>
    <row r="9" spans="1:11" ht="20.100000000000001" customHeight="1" x14ac:dyDescent="0.25">
      <c r="A9" s="133" t="s">
        <v>163</v>
      </c>
      <c r="B9" s="234">
        <v>0.05</v>
      </c>
      <c r="C9" s="4"/>
    </row>
    <row r="10" spans="1:11" ht="20.100000000000001" customHeight="1" x14ac:dyDescent="0.25">
      <c r="A10" s="133" t="s">
        <v>164</v>
      </c>
      <c r="B10" s="234">
        <v>0.03</v>
      </c>
      <c r="C10" s="4"/>
    </row>
    <row r="11" spans="1:11" ht="20.100000000000001" customHeight="1" x14ac:dyDescent="0.25">
      <c r="A11" s="65" t="s">
        <v>0</v>
      </c>
      <c r="B11" s="235">
        <f>SUM(B5:B10)</f>
        <v>0.99600000000000011</v>
      </c>
    </row>
    <row r="12" spans="1:11" ht="20.100000000000001" customHeight="1" x14ac:dyDescent="0.25"/>
    <row r="13" spans="1:11" ht="20.100000000000001" customHeight="1" x14ac:dyDescent="0.25"/>
    <row r="14" spans="1:11" ht="15.75" x14ac:dyDescent="0.25">
      <c r="A14" s="1"/>
      <c r="B14" s="20"/>
      <c r="C14" s="8"/>
      <c r="D14" s="28"/>
      <c r="E14" s="22"/>
    </row>
    <row r="15" spans="1:11" ht="15.75" x14ac:dyDescent="0.25">
      <c r="A15" s="1"/>
      <c r="B15" s="20"/>
      <c r="C15" s="8"/>
      <c r="D15" s="7"/>
      <c r="E15" s="22"/>
    </row>
    <row r="16" spans="1:11" ht="15.75" x14ac:dyDescent="0.25">
      <c r="A16" s="1"/>
      <c r="B16" s="20"/>
      <c r="C16" s="8"/>
      <c r="D16" s="28"/>
      <c r="E16" s="22"/>
    </row>
    <row r="17" spans="1:5" ht="15.75" x14ac:dyDescent="0.25">
      <c r="A17" s="1"/>
      <c r="B17" s="21"/>
      <c r="C17" s="22"/>
      <c r="D17" s="23"/>
      <c r="E17" s="22"/>
    </row>
    <row r="18" spans="1:5" x14ac:dyDescent="0.25">
      <c r="B18" t="s">
        <v>14</v>
      </c>
    </row>
  </sheetData>
  <mergeCells count="1">
    <mergeCell ref="A2:B2"/>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58432-47DF-4F7B-9D74-8F021D7E9D3A}">
  <dimension ref="A1:K18"/>
  <sheetViews>
    <sheetView workbookViewId="0">
      <selection activeCell="C17" sqref="C17"/>
    </sheetView>
  </sheetViews>
  <sheetFormatPr defaultRowHeight="15" x14ac:dyDescent="0.25"/>
  <cols>
    <col min="1" max="1" width="49.42578125" customWidth="1"/>
    <col min="2" max="2" width="30.85546875" customWidth="1"/>
    <col min="3" max="3" width="37.5703125" customWidth="1"/>
    <col min="4" max="4" width="18.28515625" customWidth="1"/>
    <col min="5" max="5" width="24.5703125" customWidth="1"/>
    <col min="7" max="7" width="11.5703125" customWidth="1"/>
  </cols>
  <sheetData>
    <row r="1" spans="1:11" ht="20.100000000000001" customHeight="1" x14ac:dyDescent="0.25">
      <c r="A1" s="1" t="s">
        <v>213</v>
      </c>
      <c r="B1" s="1"/>
      <c r="C1" s="1"/>
      <c r="D1" s="1"/>
      <c r="E1" s="1"/>
      <c r="F1" s="1"/>
      <c r="G1" s="1"/>
    </row>
    <row r="2" spans="1:11" ht="58.5" customHeight="1" x14ac:dyDescent="0.25">
      <c r="A2" s="242" t="s">
        <v>169</v>
      </c>
      <c r="B2" s="242"/>
      <c r="C2" s="242"/>
      <c r="D2" s="169"/>
      <c r="E2" s="169"/>
    </row>
    <row r="3" spans="1:11" ht="15.6" customHeight="1" x14ac:dyDescent="0.25">
      <c r="A3" s="169"/>
      <c r="B3" s="169"/>
      <c r="C3" s="169"/>
      <c r="D3" s="169"/>
      <c r="E3" s="169"/>
    </row>
    <row r="4" spans="1:11" ht="33.6" customHeight="1" x14ac:dyDescent="0.25">
      <c r="A4" s="186" t="s">
        <v>170</v>
      </c>
      <c r="B4" s="148" t="s">
        <v>171</v>
      </c>
      <c r="C4" s="149" t="s">
        <v>172</v>
      </c>
      <c r="D4" s="62"/>
      <c r="E4" s="60"/>
    </row>
    <row r="5" spans="1:11" ht="20.100000000000001" customHeight="1" x14ac:dyDescent="0.25">
      <c r="A5" s="170">
        <v>28</v>
      </c>
      <c r="B5" s="171">
        <v>17</v>
      </c>
      <c r="C5" s="236">
        <v>0.6071428571428571</v>
      </c>
      <c r="D5" s="1"/>
      <c r="E5" s="59"/>
    </row>
    <row r="6" spans="1:11" ht="20.100000000000001" customHeight="1" x14ac:dyDescent="0.25">
      <c r="A6" s="1"/>
      <c r="B6" s="20"/>
      <c r="C6" s="8"/>
      <c r="D6" s="71"/>
      <c r="E6" s="72"/>
      <c r="H6" s="20"/>
      <c r="I6" s="32"/>
    </row>
    <row r="7" spans="1:11" ht="20.100000000000001" customHeight="1" x14ac:dyDescent="0.25">
      <c r="A7" s="1"/>
      <c r="B7" s="20"/>
      <c r="C7" s="8"/>
      <c r="D7" s="71"/>
      <c r="E7" s="72"/>
      <c r="H7" s="20"/>
      <c r="I7" s="32"/>
      <c r="K7" s="69"/>
    </row>
    <row r="8" spans="1:11" ht="20.100000000000001" customHeight="1" x14ac:dyDescent="0.25">
      <c r="A8" s="1"/>
      <c r="B8" s="20"/>
      <c r="C8" s="8"/>
      <c r="D8" s="71"/>
      <c r="E8" s="72"/>
      <c r="H8" s="20"/>
      <c r="I8" s="32"/>
    </row>
    <row r="9" spans="1:11" ht="20.100000000000001" customHeight="1" x14ac:dyDescent="0.25">
      <c r="A9" s="1"/>
      <c r="B9" s="21"/>
      <c r="C9" s="22"/>
      <c r="D9" s="73"/>
      <c r="E9" s="22"/>
      <c r="H9" s="21"/>
      <c r="I9" s="33"/>
    </row>
    <row r="10" spans="1:11" ht="20.100000000000001" customHeight="1" x14ac:dyDescent="0.25">
      <c r="A10" s="9"/>
    </row>
    <row r="11" spans="1:11" ht="20.100000000000001" customHeight="1" x14ac:dyDescent="0.25"/>
    <row r="12" spans="1:11" ht="20.100000000000001" customHeight="1" x14ac:dyDescent="0.25"/>
    <row r="13" spans="1:11" ht="20.100000000000001" customHeight="1" x14ac:dyDescent="0.25">
      <c r="C13" t="s">
        <v>14</v>
      </c>
    </row>
    <row r="14" spans="1:11" ht="20.100000000000001" customHeight="1" x14ac:dyDescent="0.25"/>
    <row r="15" spans="1:11" ht="15.75" x14ac:dyDescent="0.25">
      <c r="A15" s="1"/>
      <c r="B15" s="20"/>
      <c r="C15" s="8"/>
      <c r="D15" s="28"/>
      <c r="E15" s="22"/>
    </row>
    <row r="16" spans="1:11" ht="15.75" x14ac:dyDescent="0.25">
      <c r="A16" s="1"/>
      <c r="B16" s="20"/>
      <c r="C16" s="8"/>
      <c r="D16" s="7"/>
      <c r="E16" s="22"/>
    </row>
    <row r="17" spans="1:5" ht="15.75" x14ac:dyDescent="0.25">
      <c r="A17" s="1"/>
      <c r="B17" s="20"/>
      <c r="C17" s="8"/>
      <c r="D17" s="28"/>
      <c r="E17" s="22"/>
    </row>
    <row r="18" spans="1:5" ht="15.75" x14ac:dyDescent="0.25">
      <c r="A18" s="1"/>
      <c r="B18" s="21"/>
      <c r="C18" s="22"/>
      <c r="D18" s="23"/>
      <c r="E18" s="22"/>
    </row>
  </sheetData>
  <mergeCells count="1">
    <mergeCell ref="A2:C2"/>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E735C-4DD0-46CB-A6B9-ADB507ED0628}">
  <sheetPr codeName="Sheet19"/>
  <dimension ref="A1:H28"/>
  <sheetViews>
    <sheetView workbookViewId="0">
      <selection activeCell="C22" sqref="C22"/>
    </sheetView>
  </sheetViews>
  <sheetFormatPr defaultRowHeight="15" x14ac:dyDescent="0.25"/>
  <cols>
    <col min="1" max="1" width="38.28515625" customWidth="1"/>
    <col min="2" max="2" width="26.140625" customWidth="1"/>
    <col min="3" max="3" width="26.28515625" customWidth="1"/>
  </cols>
  <sheetData>
    <row r="1" spans="1:8" ht="15.75" x14ac:dyDescent="0.25">
      <c r="A1" s="1" t="s">
        <v>214</v>
      </c>
      <c r="B1" s="1"/>
      <c r="C1" s="1"/>
    </row>
    <row r="2" spans="1:8" ht="111" customHeight="1" x14ac:dyDescent="0.25">
      <c r="A2" s="242" t="s">
        <v>219</v>
      </c>
      <c r="B2" s="242"/>
      <c r="C2" s="242"/>
      <c r="D2" s="66"/>
      <c r="E2" s="66"/>
    </row>
    <row r="3" spans="1:8" ht="15" customHeight="1" x14ac:dyDescent="0.25">
      <c r="A3" s="169"/>
      <c r="B3" s="169"/>
      <c r="C3" s="169"/>
      <c r="D3" s="66"/>
      <c r="E3" s="66"/>
    </row>
    <row r="4" spans="1:8" ht="34.5" customHeight="1" x14ac:dyDescent="0.25">
      <c r="A4" s="186" t="s">
        <v>175</v>
      </c>
      <c r="B4" s="147" t="s">
        <v>173</v>
      </c>
      <c r="C4" s="67" t="s">
        <v>174</v>
      </c>
    </row>
    <row r="5" spans="1:8" ht="20.100000000000001" customHeight="1" x14ac:dyDescent="0.25">
      <c r="A5" s="83" t="s">
        <v>111</v>
      </c>
      <c r="B5" s="20">
        <v>50</v>
      </c>
      <c r="C5" s="241">
        <v>0.11210762331838565</v>
      </c>
    </row>
    <row r="6" spans="1:8" ht="20.100000000000001" customHeight="1" x14ac:dyDescent="0.25">
      <c r="A6" s="83" t="s">
        <v>17</v>
      </c>
      <c r="B6" s="20">
        <v>18</v>
      </c>
      <c r="C6" s="241">
        <v>4.0358744394618833E-2</v>
      </c>
    </row>
    <row r="7" spans="1:8" ht="20.100000000000001" customHeight="1" x14ac:dyDescent="0.25">
      <c r="A7" s="83" t="s">
        <v>18</v>
      </c>
      <c r="B7" s="20">
        <v>4</v>
      </c>
      <c r="C7" s="241">
        <v>8.9686098654708519E-3</v>
      </c>
    </row>
    <row r="8" spans="1:8" ht="20.100000000000001" customHeight="1" x14ac:dyDescent="0.25">
      <c r="A8" s="83" t="s">
        <v>19</v>
      </c>
      <c r="B8" s="20">
        <v>6</v>
      </c>
      <c r="C8" s="241">
        <v>1.3452914798206279E-2</v>
      </c>
    </row>
    <row r="9" spans="1:8" ht="20.100000000000001" customHeight="1" x14ac:dyDescent="0.25">
      <c r="A9" s="83" t="s">
        <v>16</v>
      </c>
      <c r="B9" s="20">
        <v>260</v>
      </c>
      <c r="C9" s="241">
        <v>0.5829596412556054</v>
      </c>
    </row>
    <row r="10" spans="1:8" ht="20.100000000000001" customHeight="1" x14ac:dyDescent="0.25">
      <c r="A10" s="83" t="s">
        <v>115</v>
      </c>
      <c r="B10" s="20">
        <v>86</v>
      </c>
      <c r="C10" s="241">
        <v>0.19282511210762332</v>
      </c>
      <c r="H10" t="s">
        <v>14</v>
      </c>
    </row>
    <row r="11" spans="1:8" ht="20.100000000000001" customHeight="1" x14ac:dyDescent="0.25">
      <c r="A11" s="83" t="s">
        <v>112</v>
      </c>
      <c r="B11" s="20">
        <v>2</v>
      </c>
      <c r="C11" s="241">
        <v>4.4843049327354259E-3</v>
      </c>
    </row>
    <row r="12" spans="1:8" ht="20.100000000000001" customHeight="1" x14ac:dyDescent="0.25">
      <c r="A12" s="83" t="s">
        <v>114</v>
      </c>
      <c r="B12" s="20">
        <v>7</v>
      </c>
      <c r="C12" s="241">
        <v>1.5695067264573991E-2</v>
      </c>
    </row>
    <row r="13" spans="1:8" ht="20.100000000000001" customHeight="1" x14ac:dyDescent="0.25">
      <c r="A13" s="133" t="s">
        <v>176</v>
      </c>
      <c r="B13" s="20">
        <v>1</v>
      </c>
      <c r="C13" s="241">
        <v>2.242152466367713E-3</v>
      </c>
    </row>
    <row r="14" spans="1:8" ht="20.100000000000001" customHeight="1" x14ac:dyDescent="0.25">
      <c r="A14" s="83" t="s">
        <v>113</v>
      </c>
      <c r="B14" s="20">
        <v>12</v>
      </c>
      <c r="C14" s="241">
        <v>2.6905829596412557E-2</v>
      </c>
    </row>
    <row r="15" spans="1:8" ht="20.100000000000001" customHeight="1" x14ac:dyDescent="0.25">
      <c r="A15" s="65" t="s">
        <v>0</v>
      </c>
      <c r="B15" s="146">
        <f>SUM(B5:B14)</f>
        <v>446</v>
      </c>
      <c r="C15" s="224">
        <f>SUM(C5:C14)</f>
        <v>1</v>
      </c>
    </row>
    <row r="16" spans="1:8" x14ac:dyDescent="0.25">
      <c r="A16" s="9"/>
    </row>
    <row r="17" spans="1:2" x14ac:dyDescent="0.25">
      <c r="A17" s="57"/>
    </row>
    <row r="18" spans="1:2" x14ac:dyDescent="0.25">
      <c r="A18" s="58"/>
    </row>
    <row r="20" spans="1:2" ht="15.75" x14ac:dyDescent="0.25">
      <c r="A20" s="83"/>
    </row>
    <row r="21" spans="1:2" ht="15.75" x14ac:dyDescent="0.25">
      <c r="A21" s="83"/>
    </row>
    <row r="22" spans="1:2" ht="15.75" x14ac:dyDescent="0.25">
      <c r="A22" s="83"/>
    </row>
    <row r="23" spans="1:2" ht="15.75" x14ac:dyDescent="0.25">
      <c r="A23" s="83"/>
      <c r="B23" t="s">
        <v>14</v>
      </c>
    </row>
    <row r="24" spans="1:2" ht="15.75" x14ac:dyDescent="0.25">
      <c r="A24" s="83"/>
    </row>
    <row r="25" spans="1:2" ht="15.75" x14ac:dyDescent="0.25">
      <c r="A25" s="83"/>
    </row>
    <row r="26" spans="1:2" ht="15.75" x14ac:dyDescent="0.25">
      <c r="A26" s="83"/>
    </row>
    <row r="27" spans="1:2" ht="15.75" x14ac:dyDescent="0.25">
      <c r="A27" s="83"/>
    </row>
    <row r="28" spans="1:2" ht="15.75" x14ac:dyDescent="0.25">
      <c r="A28" s="83"/>
    </row>
  </sheetData>
  <mergeCells count="1">
    <mergeCell ref="A2:C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D6568-62A7-4DF5-89CE-F25513092259}">
  <sheetPr codeName="Sheet21"/>
  <dimension ref="A1:G18"/>
  <sheetViews>
    <sheetView workbookViewId="0">
      <selection activeCell="C20" sqref="C20"/>
    </sheetView>
  </sheetViews>
  <sheetFormatPr defaultColWidth="8.7109375" defaultRowHeight="15" x14ac:dyDescent="0.25"/>
  <cols>
    <col min="1" max="1" width="59.5703125" style="77" customWidth="1"/>
    <col min="2" max="2" width="25.85546875" style="77" customWidth="1"/>
    <col min="3" max="3" width="34.85546875" style="77" customWidth="1"/>
    <col min="4" max="4" width="28" style="77" customWidth="1"/>
    <col min="5" max="5" width="13.140625" style="77" bestFit="1" customWidth="1"/>
    <col min="6" max="6" width="30.5703125" style="77" bestFit="1" customWidth="1"/>
    <col min="7" max="7" width="13.28515625" style="77" bestFit="1" customWidth="1"/>
    <col min="8" max="8" width="11.7109375" style="77" bestFit="1" customWidth="1"/>
    <col min="9" max="9" width="5.28515625" style="77" bestFit="1" customWidth="1"/>
    <col min="10" max="10" width="10.7109375" style="77" bestFit="1" customWidth="1"/>
    <col min="11" max="16384" width="8.7109375" style="77"/>
  </cols>
  <sheetData>
    <row r="1" spans="1:7" ht="20.100000000000001" customHeight="1" x14ac:dyDescent="0.25">
      <c r="A1" s="75" t="s">
        <v>215</v>
      </c>
      <c r="G1" s="172"/>
    </row>
    <row r="2" spans="1:7" ht="87" customHeight="1" x14ac:dyDescent="0.25">
      <c r="A2" s="243" t="s">
        <v>219</v>
      </c>
      <c r="B2" s="243"/>
      <c r="C2" s="243"/>
      <c r="G2" s="172"/>
    </row>
    <row r="3" spans="1:7" ht="21" customHeight="1" x14ac:dyDescent="0.25">
      <c r="A3" s="174"/>
      <c r="B3" s="174"/>
      <c r="C3" s="174"/>
      <c r="G3" s="172"/>
    </row>
    <row r="4" spans="1:7" ht="20.100000000000001" customHeight="1" x14ac:dyDescent="0.25">
      <c r="A4" s="137" t="s">
        <v>179</v>
      </c>
      <c r="B4" s="138" t="s">
        <v>173</v>
      </c>
      <c r="C4" s="139" t="s">
        <v>174</v>
      </c>
    </row>
    <row r="5" spans="1:7" ht="20.100000000000001" customHeight="1" x14ac:dyDescent="0.25">
      <c r="A5" s="83" t="s">
        <v>118</v>
      </c>
      <c r="B5" s="140">
        <v>262</v>
      </c>
      <c r="C5" s="237">
        <v>0.58744394618834084</v>
      </c>
    </row>
    <row r="6" spans="1:7" ht="20.100000000000001" customHeight="1" x14ac:dyDescent="0.25">
      <c r="A6" s="83" t="s">
        <v>119</v>
      </c>
      <c r="B6" s="140">
        <v>130</v>
      </c>
      <c r="C6" s="237">
        <v>0.2914798206278027</v>
      </c>
    </row>
    <row r="7" spans="1:7" ht="20.100000000000001" customHeight="1" x14ac:dyDescent="0.25">
      <c r="A7" s="83" t="s">
        <v>120</v>
      </c>
      <c r="B7" s="140">
        <v>32</v>
      </c>
      <c r="C7" s="237">
        <v>7.1748878923766815E-2</v>
      </c>
    </row>
    <row r="8" spans="1:7" ht="20.100000000000001" customHeight="1" x14ac:dyDescent="0.25">
      <c r="A8" s="83" t="s">
        <v>139</v>
      </c>
      <c r="B8" s="140">
        <v>22</v>
      </c>
      <c r="C8" s="237">
        <v>4.9327354260089683E-2</v>
      </c>
    </row>
    <row r="9" spans="1:7" ht="20.100000000000001" customHeight="1" x14ac:dyDescent="0.25">
      <c r="A9" s="64" t="s">
        <v>0</v>
      </c>
      <c r="B9" s="141">
        <f>SUM(B5:B8)</f>
        <v>446</v>
      </c>
      <c r="C9" s="238">
        <v>1</v>
      </c>
    </row>
    <row r="10" spans="1:7" ht="20.100000000000001" customHeight="1" x14ac:dyDescent="0.25"/>
    <row r="11" spans="1:7" ht="20.100000000000001" customHeight="1" x14ac:dyDescent="0.25"/>
    <row r="12" spans="1:7" ht="20.100000000000001" customHeight="1" x14ac:dyDescent="0.25"/>
    <row r="13" spans="1:7" ht="20.100000000000001" customHeight="1" x14ac:dyDescent="0.25"/>
    <row r="14" spans="1:7" ht="20.100000000000001" customHeight="1" x14ac:dyDescent="0.25">
      <c r="C14" s="77" t="s">
        <v>14</v>
      </c>
    </row>
    <row r="15" spans="1:7" ht="20.100000000000001" customHeight="1" x14ac:dyDescent="0.25"/>
    <row r="16" spans="1:7" ht="20.100000000000001" customHeight="1" x14ac:dyDescent="0.25"/>
    <row r="17" ht="20.100000000000001" customHeight="1" x14ac:dyDescent="0.25"/>
    <row r="18" ht="20.100000000000001" customHeight="1" x14ac:dyDescent="0.25"/>
  </sheetData>
  <mergeCells count="1">
    <mergeCell ref="A2:C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3BF99-E02F-4891-991C-3574FFF920F1}">
  <sheetPr codeName="Sheet22"/>
  <dimension ref="A1:C19"/>
  <sheetViews>
    <sheetView workbookViewId="0">
      <selection activeCell="E18" sqref="E18"/>
    </sheetView>
  </sheetViews>
  <sheetFormatPr defaultColWidth="8.7109375" defaultRowHeight="15" x14ac:dyDescent="0.25"/>
  <cols>
    <col min="1" max="1" width="54.42578125" style="77" customWidth="1"/>
    <col min="2" max="2" width="25.140625" style="77" customWidth="1"/>
    <col min="3" max="3" width="24.5703125" style="77" customWidth="1"/>
    <col min="4" max="4" width="13.7109375" style="77" customWidth="1"/>
    <col min="5" max="5" width="18.28515625" style="77" bestFit="1" customWidth="1"/>
    <col min="6" max="6" width="28.28515625" style="77" bestFit="1" customWidth="1"/>
    <col min="7" max="16384" width="8.7109375" style="77"/>
  </cols>
  <sheetData>
    <row r="1" spans="1:3" ht="15.75" x14ac:dyDescent="0.25">
      <c r="A1" s="75" t="s">
        <v>216</v>
      </c>
    </row>
    <row r="2" spans="1:3" ht="96.75" customHeight="1" x14ac:dyDescent="0.25">
      <c r="A2" s="243" t="s">
        <v>218</v>
      </c>
      <c r="B2" s="243"/>
      <c r="C2" s="243"/>
    </row>
    <row r="3" spans="1:3" ht="24.6" customHeight="1" x14ac:dyDescent="0.25">
      <c r="A3" s="174"/>
      <c r="B3" s="174"/>
      <c r="C3" s="174"/>
    </row>
    <row r="4" spans="1:3" ht="20.100000000000001" customHeight="1" x14ac:dyDescent="0.25">
      <c r="A4" s="64" t="s">
        <v>180</v>
      </c>
      <c r="B4" s="138" t="s">
        <v>173</v>
      </c>
      <c r="C4" s="139" t="s">
        <v>174</v>
      </c>
    </row>
    <row r="5" spans="1:3" ht="20.100000000000001" customHeight="1" x14ac:dyDescent="0.25">
      <c r="A5" s="83" t="s">
        <v>125</v>
      </c>
      <c r="B5" s="140">
        <v>32</v>
      </c>
      <c r="C5" s="213">
        <v>7.1748878923766815E-2</v>
      </c>
    </row>
    <row r="6" spans="1:3" ht="20.100000000000001" customHeight="1" x14ac:dyDescent="0.25">
      <c r="A6" s="83" t="s">
        <v>127</v>
      </c>
      <c r="B6" s="140">
        <v>355</v>
      </c>
      <c r="C6" s="213">
        <v>0.79596412556053808</v>
      </c>
    </row>
    <row r="7" spans="1:3" ht="20.100000000000001" customHeight="1" x14ac:dyDescent="0.25">
      <c r="A7" s="83" t="s">
        <v>126</v>
      </c>
      <c r="B7" s="140">
        <v>59</v>
      </c>
      <c r="C7" s="213">
        <v>0.13228699551569506</v>
      </c>
    </row>
    <row r="8" spans="1:3" ht="20.100000000000001" customHeight="1" x14ac:dyDescent="0.25">
      <c r="A8" s="83" t="s">
        <v>181</v>
      </c>
      <c r="B8" s="140">
        <v>0</v>
      </c>
      <c r="C8" s="213">
        <v>0</v>
      </c>
    </row>
    <row r="9" spans="1:3" ht="20.100000000000001" customHeight="1" x14ac:dyDescent="0.25">
      <c r="A9" s="64" t="s">
        <v>0</v>
      </c>
      <c r="B9" s="141">
        <f>SUM(B5:B8)</f>
        <v>446</v>
      </c>
      <c r="C9" s="214">
        <f>SUM(C5:C8)</f>
        <v>1</v>
      </c>
    </row>
    <row r="10" spans="1:3" ht="20.100000000000001" customHeight="1" x14ac:dyDescent="0.25">
      <c r="A10" s="124"/>
    </row>
    <row r="11" spans="1:3" ht="20.100000000000001" customHeight="1" x14ac:dyDescent="0.25"/>
    <row r="12" spans="1:3" ht="20.100000000000001" customHeight="1" x14ac:dyDescent="0.25"/>
    <row r="13" spans="1:3" ht="20.100000000000001" customHeight="1" x14ac:dyDescent="0.25"/>
    <row r="14" spans="1:3" ht="20.100000000000001" customHeight="1" x14ac:dyDescent="0.25"/>
    <row r="15" spans="1:3" ht="20.100000000000001" customHeight="1" x14ac:dyDescent="0.25"/>
    <row r="16" spans="1:3" ht="20.100000000000001" customHeight="1" x14ac:dyDescent="0.25">
      <c r="C16" s="77" t="s">
        <v>14</v>
      </c>
    </row>
    <row r="17" ht="20.100000000000001" customHeight="1" x14ac:dyDescent="0.25"/>
    <row r="18" ht="20.100000000000001" customHeight="1" x14ac:dyDescent="0.25"/>
    <row r="19" ht="20.100000000000001" customHeight="1" x14ac:dyDescent="0.25"/>
  </sheetData>
  <mergeCells count="1">
    <mergeCell ref="A2:C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09405-A998-4962-8D36-205884E28D0A}">
  <dimension ref="A1:E68"/>
  <sheetViews>
    <sheetView workbookViewId="0">
      <selection activeCell="G11" sqref="G11"/>
    </sheetView>
  </sheetViews>
  <sheetFormatPr defaultColWidth="8.7109375" defaultRowHeight="15" x14ac:dyDescent="0.2"/>
  <cols>
    <col min="1" max="1" width="32.28515625" style="4" customWidth="1"/>
    <col min="2" max="2" width="20.7109375" style="4" customWidth="1"/>
    <col min="3" max="3" width="16.85546875" style="4" customWidth="1"/>
    <col min="4" max="4" width="23" style="4" customWidth="1"/>
    <col min="5" max="5" width="25.5703125" style="4" customWidth="1"/>
    <col min="6" max="16384" width="8.7109375" style="4"/>
  </cols>
  <sheetData>
    <row r="1" spans="1:5" ht="15.75" x14ac:dyDescent="0.25">
      <c r="A1" s="1" t="s">
        <v>217</v>
      </c>
      <c r="B1" s="1"/>
    </row>
    <row r="2" spans="1:5" ht="80.25" customHeight="1" x14ac:dyDescent="0.2">
      <c r="A2" s="242" t="s">
        <v>220</v>
      </c>
      <c r="B2" s="242"/>
      <c r="C2" s="242"/>
      <c r="D2" s="242"/>
      <c r="E2" s="242"/>
    </row>
    <row r="3" spans="1:5" ht="21.6" customHeight="1" x14ac:dyDescent="0.2">
      <c r="A3" s="169"/>
      <c r="B3" s="169"/>
      <c r="C3" s="169"/>
      <c r="D3" s="169"/>
      <c r="E3" s="169"/>
    </row>
    <row r="4" spans="1:5" ht="15.75" x14ac:dyDescent="0.25">
      <c r="A4" s="63" t="s">
        <v>182</v>
      </c>
      <c r="B4" s="147" t="s">
        <v>189</v>
      </c>
      <c r="C4" s="148" t="s">
        <v>185</v>
      </c>
      <c r="D4" s="148" t="s">
        <v>183</v>
      </c>
      <c r="E4" s="149" t="s">
        <v>184</v>
      </c>
    </row>
    <row r="5" spans="1:5" x14ac:dyDescent="0.2">
      <c r="A5" s="145" t="s">
        <v>62</v>
      </c>
      <c r="B5" s="191">
        <v>2019</v>
      </c>
      <c r="C5" s="191" t="s">
        <v>115</v>
      </c>
      <c r="D5" s="191" t="s">
        <v>126</v>
      </c>
      <c r="E5" s="190" t="s">
        <v>139</v>
      </c>
    </row>
    <row r="6" spans="1:5" x14ac:dyDescent="0.2">
      <c r="A6" s="145" t="s">
        <v>61</v>
      </c>
      <c r="B6" s="191">
        <v>2019</v>
      </c>
      <c r="C6" s="191" t="s">
        <v>16</v>
      </c>
      <c r="D6" s="191" t="s">
        <v>125</v>
      </c>
      <c r="E6" s="190" t="s">
        <v>119</v>
      </c>
    </row>
    <row r="7" spans="1:5" x14ac:dyDescent="0.2">
      <c r="A7" s="145" t="s">
        <v>60</v>
      </c>
      <c r="B7" s="191">
        <v>2024</v>
      </c>
      <c r="C7" s="197" t="s">
        <v>16</v>
      </c>
      <c r="D7" s="196" t="s">
        <v>127</v>
      </c>
      <c r="E7" s="190" t="s">
        <v>139</v>
      </c>
    </row>
    <row r="8" spans="1:5" x14ac:dyDescent="0.2">
      <c r="A8" s="145" t="s">
        <v>6</v>
      </c>
      <c r="B8" s="191">
        <v>2020</v>
      </c>
      <c r="C8" s="192" t="s">
        <v>115</v>
      </c>
      <c r="D8" s="194" t="s">
        <v>127</v>
      </c>
      <c r="E8" s="190" t="s">
        <v>119</v>
      </c>
    </row>
    <row r="9" spans="1:5" x14ac:dyDescent="0.2">
      <c r="A9" s="145" t="s">
        <v>59</v>
      </c>
      <c r="B9" s="191">
        <v>2019</v>
      </c>
      <c r="C9" s="191" t="s">
        <v>113</v>
      </c>
      <c r="D9" s="191" t="s">
        <v>127</v>
      </c>
      <c r="E9" s="190" t="s">
        <v>119</v>
      </c>
    </row>
    <row r="10" spans="1:5" x14ac:dyDescent="0.2">
      <c r="A10" s="145" t="s">
        <v>58</v>
      </c>
      <c r="B10" s="191">
        <v>2021</v>
      </c>
      <c r="C10" s="191" t="s">
        <v>115</v>
      </c>
      <c r="D10" s="195" t="s">
        <v>126</v>
      </c>
      <c r="E10" s="190" t="s">
        <v>119</v>
      </c>
    </row>
    <row r="11" spans="1:5" x14ac:dyDescent="0.2">
      <c r="A11" s="145" t="s">
        <v>12</v>
      </c>
      <c r="B11" s="191">
        <v>2019</v>
      </c>
      <c r="C11" s="191" t="s">
        <v>115</v>
      </c>
      <c r="D11" s="195" t="s">
        <v>125</v>
      </c>
      <c r="E11" s="190" t="s">
        <v>119</v>
      </c>
    </row>
    <row r="12" spans="1:5" x14ac:dyDescent="0.2">
      <c r="A12" s="145" t="s">
        <v>57</v>
      </c>
      <c r="B12" s="191">
        <v>2022</v>
      </c>
      <c r="C12" s="191" t="s">
        <v>115</v>
      </c>
      <c r="D12" s="195" t="s">
        <v>127</v>
      </c>
      <c r="E12" s="193" t="s">
        <v>119</v>
      </c>
    </row>
    <row r="13" spans="1:5" x14ac:dyDescent="0.2">
      <c r="A13" s="145" t="s">
        <v>56</v>
      </c>
      <c r="B13" s="191">
        <v>2017</v>
      </c>
      <c r="C13" s="191" t="s">
        <v>16</v>
      </c>
      <c r="D13" s="191" t="s">
        <v>127</v>
      </c>
      <c r="E13" s="190" t="s">
        <v>118</v>
      </c>
    </row>
    <row r="14" spans="1:5" x14ac:dyDescent="0.2">
      <c r="A14" s="145" t="s">
        <v>55</v>
      </c>
      <c r="B14" s="191">
        <v>2021</v>
      </c>
      <c r="C14" s="191" t="s">
        <v>16</v>
      </c>
      <c r="D14" s="191" t="s">
        <v>127</v>
      </c>
      <c r="E14" s="190" t="s">
        <v>118</v>
      </c>
    </row>
    <row r="15" spans="1:5" x14ac:dyDescent="0.2">
      <c r="A15" s="145" t="s">
        <v>54</v>
      </c>
      <c r="B15" s="191">
        <v>2020</v>
      </c>
      <c r="C15" s="191" t="s">
        <v>16</v>
      </c>
      <c r="D15" s="191" t="s">
        <v>127</v>
      </c>
      <c r="E15" s="190" t="s">
        <v>118</v>
      </c>
    </row>
    <row r="16" spans="1:5" x14ac:dyDescent="0.2">
      <c r="A16" s="145" t="s">
        <v>53</v>
      </c>
      <c r="B16" s="191">
        <v>2021</v>
      </c>
      <c r="C16" s="191" t="s">
        <v>16</v>
      </c>
      <c r="D16" s="191" t="s">
        <v>127</v>
      </c>
      <c r="E16" s="193" t="s">
        <v>118</v>
      </c>
    </row>
    <row r="17" spans="1:5" x14ac:dyDescent="0.2">
      <c r="A17" s="145" t="s">
        <v>52</v>
      </c>
      <c r="B17" s="191">
        <v>2021</v>
      </c>
      <c r="C17" s="191" t="s">
        <v>16</v>
      </c>
      <c r="D17" s="191" t="s">
        <v>127</v>
      </c>
      <c r="E17" s="190" t="s">
        <v>120</v>
      </c>
    </row>
    <row r="18" spans="1:5" x14ac:dyDescent="0.2">
      <c r="A18" s="145" t="s">
        <v>51</v>
      </c>
      <c r="B18" s="191">
        <v>2019</v>
      </c>
      <c r="C18" s="191" t="s">
        <v>16</v>
      </c>
      <c r="D18" s="195" t="s">
        <v>127</v>
      </c>
      <c r="E18" s="193" t="s">
        <v>139</v>
      </c>
    </row>
    <row r="19" spans="1:5" x14ac:dyDescent="0.2">
      <c r="A19" s="145" t="s">
        <v>50</v>
      </c>
      <c r="B19" s="191">
        <v>2021</v>
      </c>
      <c r="C19" s="191" t="s">
        <v>16</v>
      </c>
      <c r="D19" s="191" t="s">
        <v>127</v>
      </c>
      <c r="E19" s="190" t="s">
        <v>139</v>
      </c>
    </row>
    <row r="20" spans="1:5" x14ac:dyDescent="0.2">
      <c r="A20" s="145" t="s">
        <v>49</v>
      </c>
      <c r="B20" s="191">
        <v>2018</v>
      </c>
      <c r="C20" s="191" t="s">
        <v>16</v>
      </c>
      <c r="D20" s="191" t="s">
        <v>127</v>
      </c>
      <c r="E20" s="190" t="s">
        <v>119</v>
      </c>
    </row>
    <row r="21" spans="1:5" x14ac:dyDescent="0.2">
      <c r="A21" s="145" t="s">
        <v>48</v>
      </c>
      <c r="B21" s="191">
        <v>2020</v>
      </c>
      <c r="C21" s="191" t="s">
        <v>16</v>
      </c>
      <c r="D21" s="191" t="s">
        <v>127</v>
      </c>
      <c r="E21" s="190" t="s">
        <v>118</v>
      </c>
    </row>
    <row r="22" spans="1:5" x14ac:dyDescent="0.2">
      <c r="A22" s="145" t="s">
        <v>47</v>
      </c>
      <c r="B22" s="191">
        <v>2020</v>
      </c>
      <c r="C22" s="191" t="s">
        <v>16</v>
      </c>
      <c r="D22" s="195" t="s">
        <v>127</v>
      </c>
      <c r="E22" s="193" t="s">
        <v>139</v>
      </c>
    </row>
    <row r="23" spans="1:5" x14ac:dyDescent="0.2">
      <c r="A23" s="145" t="s">
        <v>46</v>
      </c>
      <c r="B23" s="191">
        <v>2022</v>
      </c>
      <c r="C23" s="191" t="s">
        <v>16</v>
      </c>
      <c r="D23" s="191" t="s">
        <v>127</v>
      </c>
      <c r="E23" s="193" t="s">
        <v>119</v>
      </c>
    </row>
    <row r="24" spans="1:5" x14ac:dyDescent="0.2">
      <c r="A24" s="145" t="s">
        <v>45</v>
      </c>
      <c r="B24" s="191">
        <v>2019</v>
      </c>
      <c r="C24" s="191" t="s">
        <v>16</v>
      </c>
      <c r="D24" s="191" t="s">
        <v>127</v>
      </c>
      <c r="E24" s="190" t="s">
        <v>118</v>
      </c>
    </row>
    <row r="25" spans="1:5" x14ac:dyDescent="0.2">
      <c r="A25" s="145" t="s">
        <v>44</v>
      </c>
      <c r="B25" s="191">
        <v>2019</v>
      </c>
      <c r="C25" s="191" t="s">
        <v>16</v>
      </c>
      <c r="D25" s="191" t="s">
        <v>127</v>
      </c>
      <c r="E25" s="190" t="s">
        <v>119</v>
      </c>
    </row>
    <row r="26" spans="1:5" x14ac:dyDescent="0.2">
      <c r="A26" s="145" t="s">
        <v>43</v>
      </c>
      <c r="B26" s="191">
        <v>2018</v>
      </c>
      <c r="C26" s="191" t="s">
        <v>115</v>
      </c>
      <c r="D26" s="191" t="s">
        <v>127</v>
      </c>
      <c r="E26" s="190" t="s">
        <v>139</v>
      </c>
    </row>
    <row r="27" spans="1:5" x14ac:dyDescent="0.2">
      <c r="A27" s="145" t="s">
        <v>42</v>
      </c>
      <c r="B27" s="191">
        <v>2021</v>
      </c>
      <c r="C27" s="191" t="s">
        <v>115</v>
      </c>
      <c r="D27" s="191" t="s">
        <v>127</v>
      </c>
      <c r="E27" s="190" t="s">
        <v>139</v>
      </c>
    </row>
    <row r="28" spans="1:5" x14ac:dyDescent="0.2">
      <c r="A28" s="145" t="s">
        <v>41</v>
      </c>
      <c r="B28" s="191">
        <v>2019</v>
      </c>
      <c r="C28" s="191" t="s">
        <v>115</v>
      </c>
      <c r="D28" s="195" t="s">
        <v>127</v>
      </c>
      <c r="E28" s="193" t="s">
        <v>119</v>
      </c>
    </row>
    <row r="29" spans="1:5" x14ac:dyDescent="0.2">
      <c r="A29" s="145" t="s">
        <v>40</v>
      </c>
      <c r="B29" s="191">
        <v>2022</v>
      </c>
      <c r="C29" s="191" t="s">
        <v>115</v>
      </c>
      <c r="D29" s="191" t="s">
        <v>127</v>
      </c>
      <c r="E29" s="190" t="s">
        <v>119</v>
      </c>
    </row>
    <row r="30" spans="1:5" x14ac:dyDescent="0.2">
      <c r="A30" s="145" t="s">
        <v>39</v>
      </c>
      <c r="B30" s="191">
        <v>2021</v>
      </c>
      <c r="C30" s="191" t="s">
        <v>16</v>
      </c>
      <c r="D30" s="191" t="s">
        <v>126</v>
      </c>
      <c r="E30" s="190" t="s">
        <v>120</v>
      </c>
    </row>
    <row r="31" spans="1:5" x14ac:dyDescent="0.2">
      <c r="A31" s="145" t="s">
        <v>38</v>
      </c>
      <c r="B31" s="191">
        <v>2019</v>
      </c>
      <c r="C31" s="191" t="s">
        <v>16</v>
      </c>
      <c r="D31" s="191" t="s">
        <v>127</v>
      </c>
      <c r="E31" s="190" t="s">
        <v>139</v>
      </c>
    </row>
    <row r="32" spans="1:5" x14ac:dyDescent="0.2">
      <c r="A32" s="145" t="s">
        <v>37</v>
      </c>
      <c r="B32" s="191">
        <v>2021</v>
      </c>
      <c r="C32" s="191" t="s">
        <v>16</v>
      </c>
      <c r="D32" s="195" t="s">
        <v>127</v>
      </c>
      <c r="E32" s="193" t="s">
        <v>118</v>
      </c>
    </row>
    <row r="33" spans="1:5" x14ac:dyDescent="0.2">
      <c r="A33" s="145" t="s">
        <v>36</v>
      </c>
      <c r="B33" s="191">
        <v>2022</v>
      </c>
      <c r="C33" s="191" t="s">
        <v>16</v>
      </c>
      <c r="D33" s="191" t="s">
        <v>127</v>
      </c>
      <c r="E33" s="190" t="s">
        <v>119</v>
      </c>
    </row>
    <row r="34" spans="1:5" x14ac:dyDescent="0.2">
      <c r="A34" s="145" t="s">
        <v>35</v>
      </c>
      <c r="B34" s="191">
        <v>2021</v>
      </c>
      <c r="C34" s="192" t="s">
        <v>16</v>
      </c>
      <c r="D34" s="194" t="s">
        <v>127</v>
      </c>
      <c r="E34" s="190" t="s">
        <v>119</v>
      </c>
    </row>
    <row r="35" spans="1:5" x14ac:dyDescent="0.2">
      <c r="A35" s="145" t="s">
        <v>13</v>
      </c>
      <c r="B35" s="191">
        <v>2019</v>
      </c>
      <c r="C35" s="191" t="s">
        <v>111</v>
      </c>
      <c r="D35" s="191" t="s">
        <v>125</v>
      </c>
      <c r="E35" s="190" t="s">
        <v>120</v>
      </c>
    </row>
    <row r="36" spans="1:5" x14ac:dyDescent="0.2">
      <c r="A36" s="145" t="s">
        <v>34</v>
      </c>
      <c r="B36" s="191">
        <v>2019</v>
      </c>
      <c r="C36" s="191" t="s">
        <v>16</v>
      </c>
      <c r="D36" s="191" t="s">
        <v>127</v>
      </c>
      <c r="E36" s="190" t="s">
        <v>118</v>
      </c>
    </row>
    <row r="37" spans="1:5" x14ac:dyDescent="0.2">
      <c r="A37" s="145" t="s">
        <v>33</v>
      </c>
      <c r="B37" s="191">
        <v>2021</v>
      </c>
      <c r="C37" s="191" t="s">
        <v>16</v>
      </c>
      <c r="D37" s="191" t="s">
        <v>127</v>
      </c>
      <c r="E37" s="193" t="s">
        <v>118</v>
      </c>
    </row>
    <row r="38" spans="1:5" x14ac:dyDescent="0.2">
      <c r="A38" s="145" t="s">
        <v>10</v>
      </c>
      <c r="B38" s="191">
        <v>2019</v>
      </c>
      <c r="C38" s="191" t="s">
        <v>115</v>
      </c>
      <c r="D38" s="191" t="s">
        <v>127</v>
      </c>
      <c r="E38" s="190" t="s">
        <v>118</v>
      </c>
    </row>
    <row r="39" spans="1:5" x14ac:dyDescent="0.2">
      <c r="A39" s="145" t="s">
        <v>32</v>
      </c>
      <c r="B39" s="191">
        <v>2018</v>
      </c>
      <c r="C39" s="192" t="s">
        <v>115</v>
      </c>
      <c r="D39" s="191" t="s">
        <v>126</v>
      </c>
      <c r="E39" s="190" t="s">
        <v>119</v>
      </c>
    </row>
    <row r="40" spans="1:5" x14ac:dyDescent="0.2">
      <c r="A40" s="145" t="s">
        <v>31</v>
      </c>
      <c r="B40" s="191">
        <v>2020</v>
      </c>
      <c r="C40" s="192" t="s">
        <v>111</v>
      </c>
      <c r="D40" s="191" t="s">
        <v>127</v>
      </c>
      <c r="E40" s="190" t="s">
        <v>119</v>
      </c>
    </row>
    <row r="41" spans="1:5" x14ac:dyDescent="0.2">
      <c r="A41" s="145" t="s">
        <v>30</v>
      </c>
      <c r="B41" s="191">
        <v>2021</v>
      </c>
      <c r="C41" s="192" t="s">
        <v>111</v>
      </c>
      <c r="D41" s="191" t="s">
        <v>126</v>
      </c>
      <c r="E41" s="190" t="s">
        <v>139</v>
      </c>
    </row>
    <row r="42" spans="1:5" x14ac:dyDescent="0.2">
      <c r="A42" s="145" t="s">
        <v>29</v>
      </c>
      <c r="B42" s="191">
        <v>2018</v>
      </c>
      <c r="C42" s="192" t="s">
        <v>111</v>
      </c>
      <c r="D42" s="191" t="s">
        <v>126</v>
      </c>
      <c r="E42" s="190" t="s">
        <v>119</v>
      </c>
    </row>
    <row r="43" spans="1:5" x14ac:dyDescent="0.2">
      <c r="A43" s="145" t="s">
        <v>28</v>
      </c>
      <c r="B43" s="191">
        <v>2021</v>
      </c>
      <c r="C43" s="192" t="s">
        <v>111</v>
      </c>
      <c r="D43" s="191" t="s">
        <v>126</v>
      </c>
      <c r="E43" s="190" t="s">
        <v>119</v>
      </c>
    </row>
    <row r="44" spans="1:5" x14ac:dyDescent="0.2">
      <c r="A44" s="145" t="s">
        <v>27</v>
      </c>
      <c r="B44" s="191">
        <v>2021</v>
      </c>
      <c r="C44" s="192" t="s">
        <v>111</v>
      </c>
      <c r="D44" s="191" t="s">
        <v>126</v>
      </c>
      <c r="E44" s="190" t="s">
        <v>119</v>
      </c>
    </row>
    <row r="45" spans="1:5" x14ac:dyDescent="0.2">
      <c r="A45" s="145" t="s">
        <v>26</v>
      </c>
      <c r="B45" s="191">
        <v>2020</v>
      </c>
      <c r="C45" s="192" t="s">
        <v>111</v>
      </c>
      <c r="D45" s="191" t="s">
        <v>127</v>
      </c>
      <c r="E45" s="190" t="s">
        <v>120</v>
      </c>
    </row>
    <row r="46" spans="1:5" x14ac:dyDescent="0.2">
      <c r="A46" s="145" t="s">
        <v>25</v>
      </c>
      <c r="B46" s="191">
        <v>2021</v>
      </c>
      <c r="C46" s="192" t="s">
        <v>111</v>
      </c>
      <c r="D46" s="191" t="s">
        <v>127</v>
      </c>
      <c r="E46" s="190" t="s">
        <v>120</v>
      </c>
    </row>
    <row r="47" spans="1:5" x14ac:dyDescent="0.2">
      <c r="A47" s="145" t="s">
        <v>24</v>
      </c>
      <c r="B47" s="191">
        <v>2020</v>
      </c>
      <c r="C47" s="192" t="s">
        <v>111</v>
      </c>
      <c r="D47" s="191" t="s">
        <v>127</v>
      </c>
      <c r="E47" s="190" t="s">
        <v>119</v>
      </c>
    </row>
    <row r="48" spans="1:5" x14ac:dyDescent="0.2">
      <c r="A48" s="145" t="s">
        <v>23</v>
      </c>
      <c r="B48" s="191">
        <v>2021</v>
      </c>
      <c r="C48" s="192" t="s">
        <v>111</v>
      </c>
      <c r="D48" s="191" t="s">
        <v>127</v>
      </c>
      <c r="E48" s="190" t="s">
        <v>119</v>
      </c>
    </row>
    <row r="49" spans="1:5" x14ac:dyDescent="0.2">
      <c r="A49" s="145" t="s">
        <v>22</v>
      </c>
      <c r="B49" s="191">
        <v>2021</v>
      </c>
      <c r="C49" s="191" t="s">
        <v>111</v>
      </c>
      <c r="D49" s="191" t="s">
        <v>127</v>
      </c>
      <c r="E49" s="190" t="s">
        <v>118</v>
      </c>
    </row>
    <row r="50" spans="1:5" x14ac:dyDescent="0.2">
      <c r="A50" s="145" t="s">
        <v>21</v>
      </c>
      <c r="B50" s="191">
        <v>2021</v>
      </c>
      <c r="C50" s="191" t="s">
        <v>16</v>
      </c>
      <c r="D50" s="191" t="s">
        <v>127</v>
      </c>
      <c r="E50" s="190" t="s">
        <v>119</v>
      </c>
    </row>
    <row r="51" spans="1:5" x14ac:dyDescent="0.2">
      <c r="A51" s="189" t="s">
        <v>20</v>
      </c>
      <c r="B51" s="188">
        <v>2018</v>
      </c>
      <c r="C51" s="188" t="s">
        <v>16</v>
      </c>
      <c r="D51" s="188" t="s">
        <v>127</v>
      </c>
      <c r="E51" s="187" t="s">
        <v>119</v>
      </c>
    </row>
    <row r="59" spans="1:5" x14ac:dyDescent="0.2">
      <c r="A59" s="83"/>
    </row>
    <row r="60" spans="1:5" x14ac:dyDescent="0.2">
      <c r="A60" s="83"/>
    </row>
    <row r="61" spans="1:5" x14ac:dyDescent="0.2">
      <c r="A61" s="83"/>
    </row>
    <row r="62" spans="1:5" x14ac:dyDescent="0.2">
      <c r="A62" s="83"/>
    </row>
    <row r="63" spans="1:5" x14ac:dyDescent="0.2">
      <c r="A63" s="83"/>
    </row>
    <row r="64" spans="1:5" x14ac:dyDescent="0.2">
      <c r="A64" s="83"/>
    </row>
    <row r="65" spans="1:1" x14ac:dyDescent="0.2">
      <c r="A65" s="83"/>
    </row>
    <row r="66" spans="1:1" x14ac:dyDescent="0.2">
      <c r="A66" s="83"/>
    </row>
    <row r="67" spans="1:1" x14ac:dyDescent="0.2">
      <c r="A67" s="133"/>
    </row>
    <row r="68" spans="1:1" x14ac:dyDescent="0.2">
      <c r="A68" s="83"/>
    </row>
  </sheetData>
  <mergeCells count="1">
    <mergeCell ref="A2:E2"/>
  </mergeCells>
  <dataValidations count="2">
    <dataValidation type="list" allowBlank="1" showInputMessage="1" showErrorMessage="1" sqref="E30" xr:uid="{E1A02796-F2D6-4925-A459-4A50E945A67D}">
      <formula1>"Seed, Early Stage, Growth, Late Stage, Balanced"</formula1>
    </dataValidation>
    <dataValidation type="list" allowBlank="1" showInputMessage="1" showErrorMessage="1" sqref="D5:D16 D51 D26:D43 D24 D19:D22 D45:D49" xr:uid="{3BF6929E-894A-463B-B1BC-33D76A65C13B}">
      <formula1>"ICT, Life Sciences, ECT, Diversified Sectors"</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BDC Business Value Document" ma:contentTypeID="0x010100C085E17D6B1D4387A3F3C27C8D7960FB006732DBC84B6B4C33BD052CEC2CCF6B2C000404785BFB55A64AB669EF27AEA18B50" ma:contentTypeVersion="20" ma:contentTypeDescription="Business value content type for collabware" ma:contentTypeScope="" ma:versionID="ee9c8f3419f8d195a59771660937d280">
  <xsd:schema xmlns:xsd="http://www.w3.org/2001/XMLSchema" xmlns:xs="http://www.w3.org/2001/XMLSchema" xmlns:p="http://schemas.microsoft.com/office/2006/metadata/properties" xmlns:ns2="1dec4731-9845-4c5c-9c13-5cbe24bc0acd" xmlns:ns3="d87898db-8411-45ff-93f2-a140bbf3e5a3" xmlns:ns4="87b57ae3-8130-4f5a-986a-78a4d6a21ff5" targetNamespace="http://schemas.microsoft.com/office/2006/metadata/properties" ma:root="true" ma:fieldsID="e02f95c3083fea5a595f24fc0ee2c131" ns2:_="" ns3:_="" ns4:_="">
    <xsd:import namespace="1dec4731-9845-4c5c-9c13-5cbe24bc0acd"/>
    <xsd:import namespace="d87898db-8411-45ff-93f2-a140bbf3e5a3"/>
    <xsd:import namespace="87b57ae3-8130-4f5a-986a-78a4d6a21ff5"/>
    <xsd:element name="properties">
      <xsd:complexType>
        <xsd:sequence>
          <xsd:element name="documentManagement">
            <xsd:complexType>
              <xsd:all>
                <xsd:element ref="ns2:BDCECM_PersonalInformation" minOccurs="0"/>
                <xsd:element ref="ns2:BDCECM_EssentialRecord" minOccurs="0"/>
                <xsd:element ref="ns2:BDCECMMailOriginalSubject" minOccurs="0"/>
                <xsd:element ref="ns2:BDCECM_BusinessStatus" minOccurs="0"/>
                <xsd:element ref="ns2:BDCECM_ClosingDate" minOccurs="0"/>
                <xsd:element ref="ns2:BDCECMMailObject" minOccurs="0"/>
                <xsd:element ref="ns2:BDCECMMailDate" minOccurs="0"/>
                <xsd:element ref="ns2:BDCECMMailFrom" minOccurs="0"/>
                <xsd:element ref="ns2:BDCECMMailTo" minOccurs="0"/>
                <xsd:element ref="ns2:BDCECMMailAttachments" minOccurs="0"/>
                <xsd:element ref="ns2:BDCECMMailCc" minOccurs="0"/>
                <xsd:element ref="ns2:BDCECMMailImportance" minOccurs="0"/>
                <xsd:element ref="ns2:BDCECMMailReplyTo" minOccurs="0"/>
                <xsd:element ref="ns2:nafdf7a42f644c5e834b860c7ffaece5" minOccurs="0"/>
                <xsd:element ref="ns2:TaxCatchAll" minOccurs="0"/>
                <xsd:element ref="ns2:nd3594618ca347b0830edb8d861d1405" minOccurs="0"/>
                <xsd:element ref="ns2:TaxCatchAllLabel" minOccurs="0"/>
                <xsd:element ref="ns2:p1d5d90637b843e89d9c4445e3979fd3" minOccurs="0"/>
                <xsd:element ref="ns2:j9ae1621eadf48c487cc3d45cc4e09cc" minOccurs="0"/>
                <xsd:element ref="ns3:MediaServiceFastMetadata" minOccurs="0"/>
                <xsd:element ref="ns3:MediaServiceMetadata" minOccurs="0"/>
                <xsd:element ref="ns4:SharedWithUsers" minOccurs="0"/>
                <xsd:element ref="ns4:SharedWithDetails"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ec4731-9845-4c5c-9c13-5cbe24bc0acd" elementFormDefault="qualified">
    <xsd:import namespace="http://schemas.microsoft.com/office/2006/documentManagement/types"/>
    <xsd:import namespace="http://schemas.microsoft.com/office/infopath/2007/PartnerControls"/>
    <xsd:element name="BDCECM_PersonalInformation" ma:index="3" nillable="true" ma:displayName="Personal Information" ma:default="0" ma:internalName="BDCECM_PersonalInformation">
      <xsd:simpleType>
        <xsd:restriction base="dms:Boolean"/>
      </xsd:simpleType>
    </xsd:element>
    <xsd:element name="BDCECM_EssentialRecord" ma:index="4" nillable="true" ma:displayName="Essential Record" ma:default="0" ma:internalName="BDCECM_EssentialRecord">
      <xsd:simpleType>
        <xsd:restriction base="dms:Boolean"/>
      </xsd:simpleType>
    </xsd:element>
    <xsd:element name="BDCECMMailOriginalSubject" ma:index="6" nillable="true" ma:displayName="Original Subject" ma:internalName="BDCECMMailOriginalSubject" ma:readOnly="false">
      <xsd:simpleType>
        <xsd:restriction base="dms:Text">
          <xsd:maxLength value="255"/>
        </xsd:restriction>
      </xsd:simpleType>
    </xsd:element>
    <xsd:element name="BDCECM_BusinessStatus" ma:index="7" nillable="true" ma:displayName="Business Status" ma:internalName="BDCECM_BusinessStatus">
      <xsd:simpleType>
        <xsd:restriction base="dms:Text">
          <xsd:maxLength value="255"/>
        </xsd:restriction>
      </xsd:simpleType>
    </xsd:element>
    <xsd:element name="BDCECM_ClosingDate" ma:index="8" nillable="true" ma:displayName="Closing Date" ma:format="DateOnly" ma:internalName="BDCECM_ClosingDate" ma:readOnly="false">
      <xsd:simpleType>
        <xsd:restriction base="dms:DateTime"/>
      </xsd:simpleType>
    </xsd:element>
    <xsd:element name="BDCECMMailObject" ma:index="11" nillable="true" ma:displayName="Email Subject" ma:internalName="BDCECMMailObject" ma:readOnly="false">
      <xsd:simpleType>
        <xsd:restriction base="dms:Text">
          <xsd:maxLength value="255"/>
        </xsd:restriction>
      </xsd:simpleType>
    </xsd:element>
    <xsd:element name="BDCECMMailDate" ma:index="12" nillable="true" ma:displayName="Email Date" ma:format="DateOnly" ma:internalName="BDCECMMailDate" ma:readOnly="false">
      <xsd:simpleType>
        <xsd:restriction base="dms:DateTime"/>
      </xsd:simpleType>
    </xsd:element>
    <xsd:element name="BDCECMMailFrom" ma:index="13" nillable="true" ma:displayName="Email From" ma:internalName="BDCECMMailFrom" ma:readOnly="false">
      <xsd:simpleType>
        <xsd:restriction base="dms:Text">
          <xsd:maxLength value="255"/>
        </xsd:restriction>
      </xsd:simpleType>
    </xsd:element>
    <xsd:element name="BDCECMMailTo" ma:index="14" nillable="true" ma:displayName="Email To" ma:internalName="BDCECMMailTo" ma:readOnly="false">
      <xsd:simpleType>
        <xsd:restriction base="dms:Text">
          <xsd:maxLength value="255"/>
        </xsd:restriction>
      </xsd:simpleType>
    </xsd:element>
    <xsd:element name="BDCECMMailAttachments" ma:index="15" nillable="true" ma:displayName="Email Attachements" ma:default="0" ma:internalName="BDCECMMailAttachments" ma:readOnly="false">
      <xsd:simpleType>
        <xsd:restriction base="dms:Boolean"/>
      </xsd:simpleType>
    </xsd:element>
    <xsd:element name="BDCECMMailCc" ma:index="16" nillable="true" ma:displayName="Email CC" ma:internalName="BDCECMMailCc" ma:readOnly="false">
      <xsd:simpleType>
        <xsd:restriction base="dms:Text">
          <xsd:maxLength value="255"/>
        </xsd:restriction>
      </xsd:simpleType>
    </xsd:element>
    <xsd:element name="BDCECMMailImportance" ma:index="17" nillable="true" ma:displayName="Email Importance" ma:internalName="BDCECMMailImportance" ma:readOnly="false">
      <xsd:simpleType>
        <xsd:restriction base="dms:Text">
          <xsd:maxLength value="255"/>
        </xsd:restriction>
      </xsd:simpleType>
    </xsd:element>
    <xsd:element name="BDCECMMailReplyTo" ma:index="18" nillable="true" ma:displayName="Reply-To" ma:internalName="BDCECMMailReplyTo" ma:readOnly="false">
      <xsd:simpleType>
        <xsd:restriction base="dms:Text">
          <xsd:maxLength value="255"/>
        </xsd:restriction>
      </xsd:simpleType>
    </xsd:element>
    <xsd:element name="nafdf7a42f644c5e834b860c7ffaece5" ma:index="23" nillable="true" ma:taxonomy="true" ma:internalName="nafdf7a42f644c5e834b860c7ffaece5" ma:taxonomyFieldName="BDCECM_RecordSeries" ma:displayName="Record Series" ma:default="" ma:fieldId="{7afdf7a4-2f64-4c5e-834b-860c7ffaece5}" ma:sspId="810e7a61-09d7-4dba-9ecd-2c17461f1b87" ma:termSetId="3ec1736a-1696-4339-a19f-9b937aa75315" ma:anchorId="00000000-0000-0000-0000-000000000000" ma:open="false" ma:isKeyword="false">
      <xsd:complexType>
        <xsd:sequence>
          <xsd:element ref="pc:Terms" minOccurs="0" maxOccurs="1"/>
        </xsd:sequence>
      </xsd:complexType>
    </xsd:element>
    <xsd:element name="TaxCatchAll" ma:index="24" nillable="true" ma:displayName="Taxonomy Catch All Column" ma:hidden="true" ma:list="{bd13c017-3f76-4701-b2f7-3399200562d0}" ma:internalName="TaxCatchAll" ma:showField="CatchAllData" ma:web="87b57ae3-8130-4f5a-986a-78a4d6a21ff5">
      <xsd:complexType>
        <xsd:complexContent>
          <xsd:extension base="dms:MultiChoiceLookup">
            <xsd:sequence>
              <xsd:element name="Value" type="dms:Lookup" maxOccurs="unbounded" minOccurs="0" nillable="true"/>
            </xsd:sequence>
          </xsd:extension>
        </xsd:complexContent>
      </xsd:complexType>
    </xsd:element>
    <xsd:element name="nd3594618ca347b0830edb8d861d1405" ma:index="26" nillable="true" ma:taxonomy="true" ma:internalName="nd3594618ca347b0830edb8d861d1405" ma:taxonomyFieldName="BDCECM_SMCFunc" ma:displayName="SMC Function" ma:default="" ma:fieldId="{7d359461-8ca3-47b0-830e-db8d861d1405}" ma:sspId="810e7a61-09d7-4dba-9ecd-2c17461f1b87" ma:termSetId="e54a0684-1ead-42b5-9977-99a6fd140189" ma:anchorId="00000000-0000-0000-0000-000000000000" ma:open="false" ma:isKeyword="false">
      <xsd:complexType>
        <xsd:sequence>
          <xsd:element ref="pc:Terms" minOccurs="0" maxOccurs="1"/>
        </xsd:sequence>
      </xsd:complexType>
    </xsd:element>
    <xsd:element name="TaxCatchAllLabel" ma:index="27" nillable="true" ma:displayName="Taxonomy Catch All Column1" ma:hidden="true" ma:list="{bd13c017-3f76-4701-b2f7-3399200562d0}" ma:internalName="TaxCatchAllLabel" ma:readOnly="true" ma:showField="CatchAllDataLabel" ma:web="87b57ae3-8130-4f5a-986a-78a4d6a21ff5">
      <xsd:complexType>
        <xsd:complexContent>
          <xsd:extension base="dms:MultiChoiceLookup">
            <xsd:sequence>
              <xsd:element name="Value" type="dms:Lookup" maxOccurs="unbounded" minOccurs="0" nillable="true"/>
            </xsd:sequence>
          </xsd:extension>
        </xsd:complexContent>
      </xsd:complexType>
    </xsd:element>
    <xsd:element name="p1d5d90637b843e89d9c4445e3979fd3" ma:index="28" nillable="true" ma:taxonomy="true" ma:internalName="p1d5d90637b843e89d9c4445e3979fd3" ma:taxonomyFieldName="BDCECM_InformationSecurityCategorization" ma:displayName="Information Security Categorization" ma:default="" ma:fieldId="{91d5d906-37b8-43e8-9d9c-4445e3979fd3}" ma:sspId="810e7a61-09d7-4dba-9ecd-2c17461f1b87" ma:termSetId="16f48825-0f82-4b35-9735-195c1943399f" ma:anchorId="00000000-0000-0000-0000-000000000000" ma:open="false" ma:isKeyword="false">
      <xsd:complexType>
        <xsd:sequence>
          <xsd:element ref="pc:Terms" minOccurs="0" maxOccurs="1"/>
        </xsd:sequence>
      </xsd:complexType>
    </xsd:element>
    <xsd:element name="j9ae1621eadf48c487cc3d45cc4e09cc" ma:index="29" nillable="true" ma:taxonomy="true" ma:internalName="j9ae1621eadf48c487cc3d45cc4e09cc" ma:taxonomyFieldName="BDCECM_DispApprover" ma:displayName="Disposition Approver" ma:default="" ma:fieldId="{39ae1621-eadf-48c4-87cc-3d45cc4e09cc}" ma:sspId="810e7a61-09d7-4dba-9ecd-2c17461f1b87" ma:termSetId="e54a0684-1ead-42b5-9977-99a6fd140189"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87898db-8411-45ff-93f2-a140bbf3e5a3" elementFormDefault="qualified">
    <xsd:import namespace="http://schemas.microsoft.com/office/2006/documentManagement/types"/>
    <xsd:import namespace="http://schemas.microsoft.com/office/infopath/2007/PartnerControls"/>
    <xsd:element name="MediaServiceFastMetadata" ma:index="31" nillable="true" ma:displayName="MediaServiceFastMetadata" ma:hidden="true" ma:internalName="MediaServiceFastMetadata" ma:readOnly="true">
      <xsd:simpleType>
        <xsd:restriction base="dms:Note"/>
      </xsd:simpleType>
    </xsd:element>
    <xsd:element name="MediaServiceMetadata" ma:index="32" nillable="true" ma:displayName="MediaServiceMetadata" ma:hidden="true" ma:internalName="MediaServiceMetadata" ma:readOnly="true">
      <xsd:simpleType>
        <xsd:restriction base="dms:Note"/>
      </xsd:simpleType>
    </xsd:element>
    <xsd:element name="MediaServiceAutoKeyPoints" ma:index="35" nillable="true" ma:displayName="MediaServiceAutoKeyPoints" ma:hidden="true" ma:internalName="MediaServiceAutoKeyPoints" ma:readOnly="true">
      <xsd:simpleType>
        <xsd:restriction base="dms:Note"/>
      </xsd:simpleType>
    </xsd:element>
    <xsd:element name="MediaServiceKeyPoints" ma:index="3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7b57ae3-8130-4f5a-986a-78a4d6a21ff5" elementFormDefault="qualified">
    <xsd:import namespace="http://schemas.microsoft.com/office/2006/documentManagement/types"/>
    <xsd:import namespace="http://schemas.microsoft.com/office/infopath/2007/PartnerControls"/>
    <xsd:element name="SharedWithUsers" ma:index="3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SharedContentType xmlns="Microsoft.SharePoint.Taxonomy.ContentTypeSync" SourceId="810e7a61-09d7-4dba-9ecd-2c17461f1b87" ContentTypeId="0x010100C085E17D6B1D4387A3F3C27C8D7960FB006732DBC84B6B4C33BD052CEC2CCF6B2C"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BDCECMMailObject xmlns="1dec4731-9845-4c5c-9c13-5cbe24bc0acd" xsi:nil="true"/>
    <BDCECMMailDate xmlns="1dec4731-9845-4c5c-9c13-5cbe24bc0acd" xsi:nil="true"/>
    <BDCECMMailTo xmlns="1dec4731-9845-4c5c-9c13-5cbe24bc0acd" xsi:nil="true"/>
    <BDCECMMailReplyTo xmlns="1dec4731-9845-4c5c-9c13-5cbe24bc0acd" xsi:nil="true"/>
    <nafdf7a42f644c5e834b860c7ffaece5 xmlns="1dec4731-9845-4c5c-9c13-5cbe24bc0acd">
      <Terms xmlns="http://schemas.microsoft.com/office/infopath/2007/PartnerControls">
        <TermInfo xmlns="http://schemas.microsoft.com/office/infopath/2007/PartnerControls">
          <TermName xmlns="http://schemas.microsoft.com/office/infopath/2007/PartnerControls">3099-15 - Reporting and Analysis</TermName>
          <TermId xmlns="http://schemas.microsoft.com/office/infopath/2007/PartnerControls">d27d806a-7106-40ed-9fa3-4d19551fc1d4</TermId>
        </TermInfo>
      </Terms>
    </nafdf7a42f644c5e834b860c7ffaece5>
    <BDCECM_ClosingDate xmlns="1dec4731-9845-4c5c-9c13-5cbe24bc0acd" xsi:nil="true"/>
    <BDCECMMailCc xmlns="1dec4731-9845-4c5c-9c13-5cbe24bc0acd" xsi:nil="true"/>
    <p1d5d90637b843e89d9c4445e3979fd3 xmlns="1dec4731-9845-4c5c-9c13-5cbe24bc0acd">
      <Terms xmlns="http://schemas.microsoft.com/office/infopath/2007/PartnerControls">
        <TermInfo xmlns="http://schemas.microsoft.com/office/infopath/2007/PartnerControls">
          <TermName xmlns="http://schemas.microsoft.com/office/infopath/2007/PartnerControls">Limited</TermName>
          <TermId xmlns="http://schemas.microsoft.com/office/infopath/2007/PartnerControls">df490007-b3cd-426a-8013-ffab46985cca</TermId>
        </TermInfo>
      </Terms>
    </p1d5d90637b843e89d9c4445e3979fd3>
    <j9ae1621eadf48c487cc3d45cc4e09cc xmlns="1dec4731-9845-4c5c-9c13-5cbe24bc0acd">
      <Terms xmlns="http://schemas.microsoft.com/office/infopath/2007/PartnerControls">
        <TermInfo xmlns="http://schemas.microsoft.com/office/infopath/2007/PartnerControls">
          <TermName xmlns="http://schemas.microsoft.com/office/infopath/2007/PartnerControls">VP Market Development</TermName>
          <TermId xmlns="http://schemas.microsoft.com/office/infopath/2007/PartnerControls">58d2f563-d90a-4b09-a1f1-febe89343e29</TermId>
        </TermInfo>
      </Terms>
    </j9ae1621eadf48c487cc3d45cc4e09cc>
    <BDCECM_BusinessStatus xmlns="1dec4731-9845-4c5c-9c13-5cbe24bc0acd" xsi:nil="true"/>
    <BDCECMMailAttachments xmlns="1dec4731-9845-4c5c-9c13-5cbe24bc0acd">false</BDCECMMailAttachments>
    <BDCECM_EssentialRecord xmlns="1dec4731-9845-4c5c-9c13-5cbe24bc0acd">false</BDCECM_EssentialRecord>
    <nd3594618ca347b0830edb8d861d1405 xmlns="1dec4731-9845-4c5c-9c13-5cbe24bc0acd">
      <Terms xmlns="http://schemas.microsoft.com/office/infopath/2007/PartnerControls">
        <TermInfo xmlns="http://schemas.microsoft.com/office/infopath/2007/PartnerControls">
          <TermName xmlns="http://schemas.microsoft.com/office/infopath/2007/PartnerControls">EVP BDC Capital</TermName>
          <TermId xmlns="http://schemas.microsoft.com/office/infopath/2007/PartnerControls">18446fe8-994d-4dc8-8718-1b36ad28b9fe</TermId>
        </TermInfo>
      </Terms>
    </nd3594618ca347b0830edb8d861d1405>
    <BDCECM_PersonalInformation xmlns="1dec4731-9845-4c5c-9c13-5cbe24bc0acd">false</BDCECM_PersonalInformation>
    <BDCECMMailImportance xmlns="1dec4731-9845-4c5c-9c13-5cbe24bc0acd" xsi:nil="true"/>
    <BDCECMMailOriginalSubject xmlns="1dec4731-9845-4c5c-9c13-5cbe24bc0acd" xsi:nil="true"/>
    <BDCECMMailFrom xmlns="1dec4731-9845-4c5c-9c13-5cbe24bc0acd" xsi:nil="true"/>
    <TaxCatchAll xmlns="1dec4731-9845-4c5c-9c13-5cbe24bc0acd">
      <Value>4</Value>
      <Value>2</Value>
      <Value>1</Value>
      <Value>7</Value>
    </TaxCatchAll>
  </documentManagement>
</p:properties>
</file>

<file path=customXml/itemProps1.xml><?xml version="1.0" encoding="utf-8"?>
<ds:datastoreItem xmlns:ds="http://schemas.openxmlformats.org/officeDocument/2006/customXml" ds:itemID="{D67C9FE1-2AE5-4815-A0C2-B42B310AD3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ec4731-9845-4c5c-9c13-5cbe24bc0acd"/>
    <ds:schemaRef ds:uri="d87898db-8411-45ff-93f2-a140bbf3e5a3"/>
    <ds:schemaRef ds:uri="87b57ae3-8130-4f5a-986a-78a4d6a21f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7498BFD-F2C2-4A9B-B0B8-10DD44C9B0B7}">
  <ds:schemaRefs>
    <ds:schemaRef ds:uri="http://schemas.microsoft.com/DataMashup"/>
  </ds:schemaRefs>
</ds:datastoreItem>
</file>

<file path=customXml/itemProps3.xml><?xml version="1.0" encoding="utf-8"?>
<ds:datastoreItem xmlns:ds="http://schemas.openxmlformats.org/officeDocument/2006/customXml" ds:itemID="{518A9F76-815B-494E-8965-EA40F38345E3}">
  <ds:schemaRefs>
    <ds:schemaRef ds:uri="Microsoft.SharePoint.Taxonomy.ContentTypeSync"/>
  </ds:schemaRefs>
</ds:datastoreItem>
</file>

<file path=customXml/itemProps4.xml><?xml version="1.0" encoding="utf-8"?>
<ds:datastoreItem xmlns:ds="http://schemas.openxmlformats.org/officeDocument/2006/customXml" ds:itemID="{56BF3195-761E-46B4-93A4-5F00D6DE5EF6}">
  <ds:schemaRefs>
    <ds:schemaRef ds:uri="http://schemas.microsoft.com/sharepoint/v3/contenttype/forms"/>
  </ds:schemaRefs>
</ds:datastoreItem>
</file>

<file path=customXml/itemProps5.xml><?xml version="1.0" encoding="utf-8"?>
<ds:datastoreItem xmlns:ds="http://schemas.openxmlformats.org/officeDocument/2006/customXml" ds:itemID="{E2E362F9-AEC4-42A7-AA67-7BBC37AFA494}">
  <ds:schemaRefs>
    <ds:schemaRef ds:uri="http://purl.org/dc/dcmitype/"/>
    <ds:schemaRef ds:uri="http://schemas.microsoft.com/office/2006/metadata/properties"/>
    <ds:schemaRef ds:uri="http://schemas.microsoft.com/office/2006/documentManagement/types"/>
    <ds:schemaRef ds:uri="1dec4731-9845-4c5c-9c13-5cbe24bc0acd"/>
    <ds:schemaRef ds:uri="http://schemas.openxmlformats.org/package/2006/metadata/core-properties"/>
    <ds:schemaRef ds:uri="http://purl.org/dc/elements/1.1/"/>
    <ds:schemaRef ds:uri="http://purl.org/dc/terms/"/>
    <ds:schemaRef ds:uri="http://schemas.microsoft.com/office/infopath/2007/PartnerControls"/>
    <ds:schemaRef ds:uri="87b57ae3-8130-4f5a-986a-78a4d6a21ff5"/>
    <ds:schemaRef ds:uri="d87898db-8411-45ff-93f2-a140bbf3e5a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Page couverture</vt:lpstr>
      <vt:lpstr>Notes </vt:lpstr>
      <vt:lpstr>Index</vt:lpstr>
      <vt:lpstr>Tableau 1</vt:lpstr>
      <vt:lpstr>Tableau 2</vt:lpstr>
      <vt:lpstr>Tableau 3</vt:lpstr>
      <vt:lpstr>Tableau 4</vt:lpstr>
      <vt:lpstr>Tableau 5</vt:lpstr>
      <vt:lpstr>Tableau 6</vt:lpstr>
      <vt:lpstr>Tableau 7</vt:lpstr>
      <vt:lpstr>Tableau 8</vt:lpstr>
      <vt:lpstr>Tableau 9</vt:lpstr>
      <vt:lpstr>Tableau 10</vt:lpstr>
      <vt:lpstr>Tableau 11</vt:lpstr>
      <vt:lpstr>Tableau 12</vt:lpstr>
      <vt:lpstr>Tableau 13</vt:lpstr>
      <vt:lpstr>Tableau 14</vt:lpstr>
      <vt:lpstr>Tableau 15</vt:lpstr>
      <vt:lpstr>Tableau 16</vt:lpstr>
      <vt:lpstr>Tableau 17</vt:lpstr>
      <vt:lpstr>Tableau 18</vt:lpstr>
      <vt:lpstr>Tableau 19</vt:lpstr>
      <vt:lpstr>Tableau 20</vt:lpstr>
      <vt:lpstr>Tableau 21</vt:lpstr>
      <vt:lpstr>Tableau 22</vt:lpstr>
      <vt:lpstr>Tableau 23</vt:lpstr>
      <vt:lpstr>Tableau 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NGO, Roland (OTTAWA)</dc:creator>
  <cp:keywords/>
  <dc:description/>
  <cp:lastModifiedBy>Turcotte, Kaleb (ISED/ISDE)</cp:lastModifiedBy>
  <cp:revision/>
  <dcterms:created xsi:type="dcterms:W3CDTF">2020-07-06T13:36:33Z</dcterms:created>
  <dcterms:modified xsi:type="dcterms:W3CDTF">2026-03-31T17:04:55Z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0x010100C085E17D6B1D4387A3F3C27C8D7960FB006732DBC84B6B4C33BD052CEC2CCF6B2C000404785BFB55A64AB669EF27AEA18B50</vt:lpwstr>
  </property>
  <property fmtid="{D5CDD505-2E9C-101B-9397-08002B2CF9AE}" pid="3" name="BDCECM_InformationSecurityCategorization">
    <vt:lpwstr>4;#Limited|df490007-b3cd-426a-8013-ffab46985cca</vt:lpwstr>
  </property>
  <property fmtid="{D5CDD505-2E9C-101B-9397-08002B2CF9AE}" pid="4" name="BDCECM_RecordSeries">
    <vt:lpwstr>7;#3099-15 - Reporting and Analysis|d27d806a-7106-40ed-9fa3-4d19551fc1d4</vt:lpwstr>
  </property>
  <property fmtid="{D5CDD505-2E9C-101B-9397-08002B2CF9AE}" pid="5" name="BDCECM_SMCFunc">
    <vt:lpwstr>2;#EVP BDC Capital|18446fe8-994d-4dc8-8718-1b36ad28b9fe</vt:lpwstr>
  </property>
  <property fmtid="{D5CDD505-2E9C-101B-9397-08002B2CF9AE}" pid="6" name="BDCECM_DispApprover">
    <vt:lpwstr>1;#VP Market Development|58d2f563-d90a-4b09-a1f1-febe89343e29</vt:lpwstr>
  </property>
  <property fmtid="{D5CDD505-2E9C-101B-9397-08002B2CF9AE}" pid="7" name="_NewReviewCycle">
    <vt:lpwstr/>
  </property>
  <property fmtid="{D5CDD505-2E9C-101B-9397-08002B2CF9AE}" pid="8" name="MediaServiceImageTags">
    <vt:lpwstr/>
  </property>
  <property fmtid="{D5CDD505-2E9C-101B-9397-08002B2CF9AE}" pid="9" name="lcf76f155ced4ddcb4097134ff3c332f">
    <vt:lpwstr/>
  </property>
</Properties>
</file>