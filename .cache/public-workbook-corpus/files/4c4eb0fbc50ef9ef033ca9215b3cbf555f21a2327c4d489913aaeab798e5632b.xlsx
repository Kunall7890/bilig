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166925"/>
  <mc:AlternateContent xmlns:mc="http://schemas.openxmlformats.org/markup-compatibility/2006">
    <mc:Choice Requires="x15">
      <x15ac:absPath xmlns:x15ac="http://schemas.microsoft.com/office/spreadsheetml/2010/11/ac" url="C:\Users\turcotk2\AppData\Roaming\OpenText\OTEdit\GCDocs\c60078990\"/>
    </mc:Choice>
  </mc:AlternateContent>
  <xr:revisionPtr revIDLastSave="0" documentId="13_ncr:1_{603398E5-E764-4C5F-A69E-E8360B2533E5}" xr6:coauthVersionLast="47" xr6:coauthVersionMax="47" xr10:uidLastSave="{00000000-0000-0000-0000-000000000000}"/>
  <bookViews>
    <workbookView xWindow="-120" yWindow="-120" windowWidth="29040" windowHeight="15720" tabRatio="700" xr2:uid="{80E22974-BD9E-4202-A0D6-F2ED70FFA7B9}"/>
  </bookViews>
  <sheets>
    <sheet name="Cover page" sheetId="46" r:id="rId1"/>
    <sheet name="Notes " sheetId="41" r:id="rId2"/>
    <sheet name="Index" sheetId="38" r:id="rId3"/>
    <sheet name="Table 1" sheetId="2" r:id="rId4"/>
    <sheet name="Table 2" sheetId="42" r:id="rId5"/>
    <sheet name="Table 3" sheetId="4" r:id="rId6"/>
    <sheet name="Table 4" sheetId="5" r:id="rId7"/>
    <sheet name="Table 5" sheetId="6" r:id="rId8"/>
    <sheet name="Table 6" sheetId="7" r:id="rId9"/>
    <sheet name="Table 7" sheetId="8" r:id="rId10"/>
    <sheet name="Table 8" sheetId="35" r:id="rId11"/>
    <sheet name="Table 9" sheetId="10" r:id="rId12"/>
    <sheet name="Table 10" sheetId="11" r:id="rId13"/>
    <sheet name="Table 11" sheetId="12" r:id="rId14"/>
    <sheet name="Table 12" sheetId="13" r:id="rId15"/>
    <sheet name="Table 13" sheetId="40" r:id="rId16"/>
    <sheet name="Table 14" sheetId="27" r:id="rId17"/>
    <sheet name="Table 15" sheetId="28" r:id="rId18"/>
    <sheet name="Table 16" sheetId="29" r:id="rId19"/>
    <sheet name="Table 17" sheetId="14" r:id="rId20"/>
    <sheet name="Table 18" sheetId="15" r:id="rId21"/>
    <sheet name="Table 19" sheetId="44" r:id="rId22"/>
    <sheet name="Table 20" sheetId="43" r:id="rId23"/>
    <sheet name="Table 21" sheetId="16" r:id="rId24"/>
    <sheet name="Table 22" sheetId="17" r:id="rId25"/>
    <sheet name="Table 23" sheetId="18" r:id="rId26"/>
    <sheet name="Table 24" sheetId="45" r:id="rId27"/>
  </sheets>
  <definedNames>
    <definedName name="_xlnm._FilterDatabase" localSheetId="7" hidden="1">'Table 5'!$A$21:$G$84</definedName>
    <definedName name="_xlnm._FilterDatabase" localSheetId="8" hidden="1">'Table 6'!$A$15:$G$71</definedName>
    <definedName name="_xlnm._FilterDatabase" localSheetId="9" hidden="1">'Table 7'!$A$14:$G$77</definedName>
    <definedName name="CIQWBGuid" hidden="1">"b9a9a99a-4cb3-428d-aeaf-6e7b65d80d1d"</definedName>
    <definedName name="EURCAD">1.4222</definedName>
    <definedName name="Fdrsgn" hidden="1">"3a8f5bd4-bc99-4c5b-b3a4-601b62886590"</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44047.8196412037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QUERY_RESULT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29" l="1"/>
  <c r="G5" i="29"/>
  <c r="H5" i="13"/>
  <c r="H5" i="35"/>
  <c r="C8" i="15" l="1"/>
  <c r="B8" i="15"/>
  <c r="D8" i="15"/>
  <c r="D9" i="14"/>
  <c r="E5" i="14" s="1"/>
  <c r="E8" i="14" l="1"/>
  <c r="E7" i="14"/>
  <c r="E6" i="14"/>
  <c r="D14" i="6"/>
  <c r="C14" i="6"/>
  <c r="B14" i="6"/>
  <c r="D8" i="8"/>
  <c r="C8" i="8"/>
  <c r="B8" i="8"/>
  <c r="B11" i="44"/>
  <c r="B9" i="18"/>
  <c r="B9" i="17"/>
  <c r="C6" i="17" s="1"/>
  <c r="B15" i="16"/>
  <c r="D8" i="28"/>
  <c r="B8" i="28"/>
  <c r="B9" i="27"/>
  <c r="E9" i="27"/>
  <c r="D9" i="27"/>
  <c r="C9" i="27"/>
  <c r="E9" i="11"/>
  <c r="C9" i="11"/>
  <c r="D9" i="11"/>
  <c r="B9" i="11"/>
  <c r="D9" i="7"/>
  <c r="C9" i="7"/>
  <c r="B9" i="7"/>
  <c r="E8" i="15" l="1"/>
  <c r="E9" i="14"/>
  <c r="C5" i="17"/>
  <c r="C8" i="17"/>
  <c r="C7" i="17"/>
  <c r="E8" i="28"/>
  <c r="C8" i="28"/>
  <c r="E8" i="8" l="1"/>
  <c r="E14" i="6"/>
  <c r="C9" i="18"/>
  <c r="C9" i="17"/>
  <c r="C15" i="16"/>
  <c r="E9" i="7"/>
  <c r="B8" i="40" l="1"/>
  <c r="G5" i="13"/>
  <c r="D5" i="13"/>
  <c r="B10" i="10"/>
  <c r="G5" i="35"/>
  <c r="B9" i="2" l="1"/>
  <c r="B14" i="42"/>
  <c r="C14" i="42" l="1"/>
</calcChain>
</file>

<file path=xl/sharedStrings.xml><?xml version="1.0" encoding="utf-8"?>
<sst xmlns="http://schemas.openxmlformats.org/spreadsheetml/2006/main" count="518" uniqueCount="234">
  <si>
    <t>Total</t>
  </si>
  <si>
    <t>ICT</t>
  </si>
  <si>
    <t>Life Sciences</t>
  </si>
  <si>
    <t>Northleaf Venture Catalyst Fund II</t>
  </si>
  <si>
    <t>Teralys Capital Innovation Fund 2018</t>
  </si>
  <si>
    <t>Kensington Venture Fund II</t>
  </si>
  <si>
    <t>HarbourVest Canada Growth Fund II</t>
  </si>
  <si>
    <t>Canada (Private Sector)</t>
  </si>
  <si>
    <t>Canada (Public Sector)</t>
  </si>
  <si>
    <t>Europe</t>
  </si>
  <si>
    <t>Rest of World</t>
  </si>
  <si>
    <t>Direct Investments in Canadian Companies</t>
  </si>
  <si>
    <t>Direct Investments in non-Canadian Companies</t>
  </si>
  <si>
    <t>Commitments to Canadian Funds</t>
  </si>
  <si>
    <t>Commitments to non-Canadian Funds</t>
  </si>
  <si>
    <t>United States</t>
  </si>
  <si>
    <t>Seed</t>
  </si>
  <si>
    <t>Early Venture</t>
  </si>
  <si>
    <t>Late Venture</t>
  </si>
  <si>
    <t>Growth Equity</t>
  </si>
  <si>
    <t>Energy &amp; Cleantech</t>
  </si>
  <si>
    <t>Fund</t>
  </si>
  <si>
    <t>Brightspark Canadian Opportunities Fund</t>
  </si>
  <si>
    <t>Build Ventures II</t>
  </si>
  <si>
    <t>Garage Capital III*</t>
  </si>
  <si>
    <t>Highline BETA</t>
  </si>
  <si>
    <t>TandemLaunch III</t>
  </si>
  <si>
    <t>ArcTernVentures II</t>
  </si>
  <si>
    <t>Cycle Capital Fund IV</t>
  </si>
  <si>
    <t>Renewal4 Investment Fund</t>
  </si>
  <si>
    <t>Energy &amp; CleanTech</t>
  </si>
  <si>
    <t>Stream 2 Funds</t>
  </si>
  <si>
    <t>Stream 3 Funds</t>
  </si>
  <si>
    <t>Energy and CleanTech</t>
  </si>
  <si>
    <t xml:space="preserve"> </t>
  </si>
  <si>
    <t>Other Companies</t>
  </si>
  <si>
    <t>Small Business Branch</t>
  </si>
  <si>
    <t>Innovation, Science and Economic Development Canada</t>
  </si>
  <si>
    <t>In collaboration with</t>
  </si>
  <si>
    <t>Produced by</t>
  </si>
  <si>
    <t>Data Tables</t>
  </si>
  <si>
    <t>Table</t>
  </si>
  <si>
    <t>Business Development Bank of Canada</t>
  </si>
  <si>
    <t>Nationality of Investors Participating in VCCI Funds-of-Funds</t>
  </si>
  <si>
    <t>Performance of the VCCI Funds-of-Funds Portfolio</t>
  </si>
  <si>
    <t>Primary Stage Focus of Canadian Stream 2 Fund Commitments</t>
  </si>
  <si>
    <t>Distribution of Overall VCCI Investments in Companies Across Canada</t>
  </si>
  <si>
    <t>Primary Stage Focus of VCCI Stream 3 Fund Commitments</t>
  </si>
  <si>
    <t>Primary Sector Focus of VCCI Stream 3 Fund Commitments</t>
  </si>
  <si>
    <t>Performance of the Government of Canada VCCI Stream 3 Funds</t>
  </si>
  <si>
    <t>Primary Stage Focus of Overall VCCI Investments in Canadian Companies</t>
  </si>
  <si>
    <t>Primary Sector Focus of Overall VCCI Investments in Canadian Companies</t>
  </si>
  <si>
    <t>Government of Canada</t>
  </si>
  <si>
    <t>Provincial Governments</t>
  </si>
  <si>
    <t>Pension Funds</t>
  </si>
  <si>
    <t>Foundations and Endowments</t>
  </si>
  <si>
    <t>Retail Funds</t>
  </si>
  <si>
    <t>Strategic Corporations</t>
  </si>
  <si>
    <t>High Net Worth Investors and Family Offices</t>
  </si>
  <si>
    <t>General Partners</t>
  </si>
  <si>
    <t>Table 3: Nationality of Investors Participating in VCCI Funds-of-Funds</t>
  </si>
  <si>
    <t xml:space="preserve">Performance Metrics for </t>
  </si>
  <si>
    <t xml:space="preserve">Venture Capital Catalyst Initiative 2017 </t>
  </si>
  <si>
    <t xml:space="preserve">Total </t>
  </si>
  <si>
    <t>Cleantech sub-sector</t>
  </si>
  <si>
    <t>Circular economy</t>
  </si>
  <si>
    <t>Energy efficiency</t>
  </si>
  <si>
    <t>Food and agriculture</t>
  </si>
  <si>
    <t>Transportation</t>
  </si>
  <si>
    <t>Water</t>
  </si>
  <si>
    <t>Advanced Materials</t>
  </si>
  <si>
    <t>Number of Canadian fund managers supported under VCCI</t>
  </si>
  <si>
    <t>Quebec</t>
  </si>
  <si>
    <t>Ontario</t>
  </si>
  <si>
    <t>Nova Scotia</t>
  </si>
  <si>
    <t>British Columbia</t>
  </si>
  <si>
    <t>Alberta</t>
  </si>
  <si>
    <t>Saskatchewan</t>
  </si>
  <si>
    <t>Manitoba</t>
  </si>
  <si>
    <t>New Brunswick</t>
  </si>
  <si>
    <t xml:space="preserve">Notes:
- Metrics in this section relate to the activities associated with the four VCCI 2017 Stream 1 funds-of-funds recipients.
</t>
  </si>
  <si>
    <t>Notes:
- Metrics in this section relate to the activities associated with the four VCCI 2017 Stream 1 funds-of-funds recipients.
- The four funds-of-funds raised $1.176 billion from public and private sector investors, including approximately $279 million from the Government of Canada through VCCI.</t>
  </si>
  <si>
    <t xml:space="preserve">Category </t>
  </si>
  <si>
    <t xml:space="preserve">Notes:
- Metrics in this section relate to the activities associated with the four VCCI 2017 Stream 1 funds-of-funds recipients.
- Funds-of-funds commitments to Canadian VC funds
</t>
  </si>
  <si>
    <t>Newfoundland and Labrador</t>
  </si>
  <si>
    <t xml:space="preserve">Notes:
- Metrics in this table relate to the activities associated with the four VCCI 2017 Stream 1 funds-of-funds recipients.
- Funds-of-funds commitments to Canadian VC funds
</t>
  </si>
  <si>
    <t>Funds-of-Funds</t>
  </si>
  <si>
    <t>Notes:
- Metrics in this section relate to the activities associated with the five venture capital funds selected under Stream 2, which together received a commitment of $42.5 million under VCCI 2017.
- Commitments to the Stream 2 funds
- Garage Capitall III is denominated in USD. VCCI commitment made in USD and includes allowance for foreign exchange fluctuations</t>
  </si>
  <si>
    <t>Notes:
- Metrics in this section relate to the activities associated with the five venture capital funds selected under Stream 2, which together received a commitment of $42.5 million under VCCI 2017.
- Commitments to the Stream 2 funds</t>
  </si>
  <si>
    <t>Notes:
- Metrics in this section relate to the activities associated with the three venture capital funds selected under Stream 3, which together received a commitment of $50 million under VCCI.
- Commitments to the Stream 3 funds</t>
  </si>
  <si>
    <t>Notes:
- Metrics in this section relate to the overall activities associated with the four funds-of-funds and the eight venture capital funds that received VCCI investment.
- Commitments to Canadian Venture Capital Funds</t>
  </si>
  <si>
    <t>Percentage of capital invested in the clean technology sector</t>
  </si>
  <si>
    <t>Total number of funds that raised follow-on funds</t>
  </si>
  <si>
    <t>Percentage of funds that raised follow-on funds</t>
  </si>
  <si>
    <t>Prince Edward Island</t>
  </si>
  <si>
    <t>Information &amp; Communication Technology</t>
  </si>
  <si>
    <t>Table 2: Type of Investors Participating in VCCI Funds-of-Funds</t>
  </si>
  <si>
    <t>Type of Investors Participating in VCCI Funds-of-Funds</t>
  </si>
  <si>
    <t>Government of Canada Investment in the VCCI Stream 2</t>
  </si>
  <si>
    <t>Primary Sector Focus of Overall VCCI 2017 Commitments to Canadian Funds</t>
  </si>
  <si>
    <t>Fund-of-fund</t>
  </si>
  <si>
    <t>Capital raised ($)</t>
  </si>
  <si>
    <t>Type of investors participating in VCCI</t>
  </si>
  <si>
    <t>Total commitments ($)</t>
  </si>
  <si>
    <t>Nationality of investor</t>
  </si>
  <si>
    <t>Number of investors</t>
  </si>
  <si>
    <t>Total commitments ($M)</t>
  </si>
  <si>
    <t>Location of fund manager HQ</t>
  </si>
  <si>
    <t>Number of funds</t>
  </si>
  <si>
    <t xml:space="preserve">Percentage of funds </t>
  </si>
  <si>
    <t xml:space="preserve">Percentage of commitments </t>
  </si>
  <si>
    <t>Percentage of commitments</t>
  </si>
  <si>
    <t>Primary stage focus</t>
  </si>
  <si>
    <t>Percentage of funds</t>
  </si>
  <si>
    <t>Primary sector focus</t>
  </si>
  <si>
    <t xml:space="preserve">Number of funds </t>
  </si>
  <si>
    <t>Stream category</t>
  </si>
  <si>
    <t>Amount raised by funds-of-funds ($)</t>
  </si>
  <si>
    <t xml:space="preserve">Capital called ($)       </t>
  </si>
  <si>
    <t>Percentage called</t>
  </si>
  <si>
    <t>Cash distributed ($)</t>
  </si>
  <si>
    <t>Fair value ($)</t>
  </si>
  <si>
    <t>Total value ($)</t>
  </si>
  <si>
    <t>Total value to paid-in</t>
  </si>
  <si>
    <t>Commited VCCI capital ($)</t>
  </si>
  <si>
    <t>Amount committed ($)</t>
  </si>
  <si>
    <t xml:space="preserve">Fair value ($)  </t>
  </si>
  <si>
    <t>Location of company HQ</t>
  </si>
  <si>
    <t>Number of companies</t>
  </si>
  <si>
    <t>Percentage of total companies</t>
  </si>
  <si>
    <t>Stage at initial investment</t>
  </si>
  <si>
    <t>Primary sector</t>
  </si>
  <si>
    <t>Notes:
- Metrics in this table relate to the activities associated with the four VCCI 2017 Stream 1 funds-of-funds recipients.
- Metrics relate to the combined performance of private and government investments.
- Capital called is the cash that the funds draw down for their activities.
- Cash distributed is the amount returned to investors.
- Fair value refers to the value of the remaining investment.
- Total value = Fair value + Cash distributed.
- Total value to paid-in = Total value ÷ Capital called.</t>
  </si>
  <si>
    <t xml:space="preserve">Notes:
- Metrics in this section relate to the activities associated with the five venture capital funds selected under Stream 2, which together received a commitment of $42.5 million under VCCI 2017.
- Capital called is the cash that the funds draw down for their activities.
- Cash distributed is the amount returned to investors
- Fair value refers to the value of the remaining investment.
- Total value = Fair value + Cash distributed.
- Total value to paid-in = Total value ÷ Capital called.
</t>
  </si>
  <si>
    <t>Notes:
 - Metrics in this section relate to the activities associated with the five venture capital funds selected under Stream 3, which together received a commitment of $42.5 million under VCCI 2017.
- Capital called is the cash that the funds draw down for their activities.
- Cash distributed is the amount returned to investors
- Fair value refers to the value of the remaining investment.
- Total value = Fair value + Cash distributed.
- Total value to paid-in = Total value ÷ Capital called.</t>
  </si>
  <si>
    <t>Notes:
- Metrics in this section relate to the overall activities associated with the four funds-of-funds and the eight venture capital funds that received VCCI investment.</t>
  </si>
  <si>
    <t>Financial Institutions and Insurance Companies</t>
  </si>
  <si>
    <t>Early Stage</t>
  </si>
  <si>
    <t xml:space="preserve"> Information and communications technology</t>
  </si>
  <si>
    <t>Whitecap Venture Partners IV</t>
  </si>
  <si>
    <t xml:space="preserve">White Star Capital III </t>
  </si>
  <si>
    <t xml:space="preserve">Version One Ventures IV </t>
  </si>
  <si>
    <t>Version One Ventures II</t>
  </si>
  <si>
    <t>Version One Ventures I</t>
  </si>
  <si>
    <t>Late Stage</t>
  </si>
  <si>
    <t>Version One Opportunities Fund II</t>
  </si>
  <si>
    <t xml:space="preserve">Version One Opportunities Fund I </t>
  </si>
  <si>
    <t>Versant Voyageurs II</t>
  </si>
  <si>
    <t>Versant Venture Capital VIII</t>
  </si>
  <si>
    <t>Versant Venture Capital VII</t>
  </si>
  <si>
    <t>Growth</t>
  </si>
  <si>
    <t>Versant Vantage II</t>
  </si>
  <si>
    <t>Vanedge Capital III</t>
  </si>
  <si>
    <t>TVM Life Science Innovation II</t>
  </si>
  <si>
    <t>StandUp Ventures II</t>
  </si>
  <si>
    <t>StandUp Ventures I</t>
  </si>
  <si>
    <t>Energy and clean technologies</t>
  </si>
  <si>
    <t>Relay Ventures V</t>
  </si>
  <si>
    <t>Portage Ventures III</t>
  </si>
  <si>
    <t>Mistral Venture Partners III</t>
  </si>
  <si>
    <t>McRock Capital Fund II</t>
  </si>
  <si>
    <t>Lumira Ventures IV</t>
  </si>
  <si>
    <t>Inovia Venture Fund V</t>
  </si>
  <si>
    <t xml:space="preserve">iNovia Investment Fund 2018 </t>
  </si>
  <si>
    <t>iNovia Growth Fund II</t>
  </si>
  <si>
    <t xml:space="preserve">iNovia Growth Fund </t>
  </si>
  <si>
    <t>Information Venture Partners III</t>
  </si>
  <si>
    <t>Highline BETA Fund 2019</t>
  </si>
  <si>
    <t>Golden Ventures Opportunities Fund II L.P.</t>
  </si>
  <si>
    <t>Golden Ventures Opportunities Fund I</t>
  </si>
  <si>
    <t>Golden Venture Partners Fund IV</t>
  </si>
  <si>
    <t>Golden Venture Partners Fund III</t>
  </si>
  <si>
    <t>Georgian Partners Growth Fund VI</t>
  </si>
  <si>
    <t>Georgian Partners Growth Fund V</t>
  </si>
  <si>
    <t>Georgian Alignment Fund II</t>
  </si>
  <si>
    <t>Garage Capital Opportunities Fund II</t>
  </si>
  <si>
    <t>Garage Capital Opportunities Fund I</t>
  </si>
  <si>
    <t>Garage Capital Fund IV</t>
  </si>
  <si>
    <t>Garage Capital Fund III</t>
  </si>
  <si>
    <t>First Ascent Ventures II</t>
  </si>
  <si>
    <t>CTI Life Sciences Fund III</t>
  </si>
  <si>
    <t>Build Ventures Fund II</t>
  </si>
  <si>
    <t>BrandProject Capital Fund II</t>
  </si>
  <si>
    <t>ArcTern Ventures II</t>
  </si>
  <si>
    <t>Amplitude Ventures Fund I</t>
  </si>
  <si>
    <t>Stage focus</t>
  </si>
  <si>
    <t>Sector focus</t>
  </si>
  <si>
    <t>Location</t>
  </si>
  <si>
    <t>Fund Name</t>
  </si>
  <si>
    <t xml:space="preserve">Vintage year </t>
  </si>
  <si>
    <t>Pooled Gross Internal Rate of Return</t>
  </si>
  <si>
    <t>Notes:
- Metrics in this section relate to the activities associated with the four VCCI 2017 Stream 1 funds-of-funds recipients.
- Number of Investors: breakdown of the portfolio of all four funds-of-funds (it excludes high-net-worth individuals and family offices).</t>
  </si>
  <si>
    <t xml:space="preserve">Notes:
- Metrics in this section relate to the activities associated with the four VCCI 2017 Stream 1 funds-of-funds recipients.
- Portfolio allocation across the four funds-of-funds.
</t>
  </si>
  <si>
    <t>Table 4: Breakdown of Direct and Indirect Investments by the Funds-of-Funds  (as of December 31, 2024)</t>
  </si>
  <si>
    <t>Table 16: Performance of the Government of Canada VCCI Stream 3 Funds (as of December 31, 2024)</t>
  </si>
  <si>
    <t>Table 13: Government of Canada investment in the VCCI Stream 3 funds (as of December 31, 2024)</t>
  </si>
  <si>
    <t>Table 12: Performance of the Government of Canada VCCI Stream 2 Funds Investment (as of December 31, 2024)</t>
  </si>
  <si>
    <t>Table 9: Government of Canada Investment in the VCCI Stream 2 (as of December 31, 2024)</t>
  </si>
  <si>
    <t>Table 8: Performance of the VCCI Funds-of-Funds Portfolio (as of December 31, 2024)</t>
  </si>
  <si>
    <t>Table 6: Primary Stage Focus of Canadian Funds-of-Funds Commitments  (as of December 31, 2024)</t>
  </si>
  <si>
    <t>Table 7: Primary Sector Focus of Canadian Funds-of-Funds Commitments (as of December 31, 2024)</t>
  </si>
  <si>
    <t>Table 5: Distribution of Funds-of-Funds Commitments Across Canada (as of December 31, 2024)</t>
  </si>
  <si>
    <t>Notes:
-This table is updated annually
-List of the 47 Canadian venture capital funds that have received commitments under the Venture Capital Catalyst Initiative (VCCI) 2017 up to December 31, 2024. 
-This list includes Canadian VC funds invested in by recipient Stream 1 funds-of-funds and recipient Stream 2 and 3 Funds.</t>
  </si>
  <si>
    <t>Table 24: Canadian Venture Capital Funds Supported by the Venture Capital Catalyst Initiative 2017 (as of December 31, 2024)</t>
  </si>
  <si>
    <t>– December 31, 2024</t>
  </si>
  <si>
    <t>Performance Metrics for Venture Capital Catalyst Initiative 2017 - December 31, 2024</t>
  </si>
  <si>
    <t>Table 10: Primary Stage Focus of the VCCI Stream 2 Fund Commitments (as of December 31, 2024)</t>
  </si>
  <si>
    <t>Table 11: Primary sector focus of the VCCI Stream 2 fund commitments (as of December 31, 2024)</t>
  </si>
  <si>
    <t>Table 14: Primary Stage Focus of VCCI Stream 3 Fund Commitments (as of December 31, 2024)</t>
  </si>
  <si>
    <t>Table 15: Primary Sector Focus of VCCI Stream 3 Fund Commitments (as of December 31, 2024)</t>
  </si>
  <si>
    <t>Table 19: Cleantech sub-sector breakdown across all streams of VCCI (as of December 31, 2024)</t>
  </si>
  <si>
    <t>Table 20: Proportion of underlying Canadian VC fund managers supported under VCCI 2017 that raise follow-on funds (as of December 31, 2024)</t>
  </si>
  <si>
    <t>Table 21: Distribution of Overall VCCI Investments in Companies Across Canada (as of December 31, 2024)</t>
  </si>
  <si>
    <t>Notes:
- As of December 31, 2024, VC funds that received support from VCCI invested a combined $2.9 billion from all investment sources in at least 446 Canadian companies. This figure may vary from year-to-year as it is based on annual reporting by VCCI 2017 recipients, including data obtained on a commercially reasonable efforts basis from underlying venture capital funds (of funds-of-funds recipients) and from funds' portfolio companies. This data is unaudited and may not be suitable for year to year comparisons.</t>
  </si>
  <si>
    <t>Table 22: Primary Stage Focus of Overall VCCI Investments in Canadian Companies (as of December 31, 2024)</t>
  </si>
  <si>
    <t>Table 23: Primary Sector Focus of Overall VCCI Investments in Canadian Companies (as of December 31, 2024)</t>
  </si>
  <si>
    <t>Total Capital Raised by the VCCI 2017 Funds-of-Funds</t>
  </si>
  <si>
    <t>Breakdown of Direct and Indirect Investments by the Funds-of-Funds</t>
  </si>
  <si>
    <t>Distribution of Funds-of-Funds Commitments Across Canada</t>
  </si>
  <si>
    <t>Primary Stage Focus of Canadian Funds-of-Funds Commitments</t>
  </si>
  <si>
    <t>Primary Sector Focus of Canadian Funds-of-Funds Commitments</t>
  </si>
  <si>
    <t>Primary Sector Focus of Canadian Stream 2 Fund Commitments</t>
  </si>
  <si>
    <t>Performance of the Government of Canada VCCI Stream 2 Funds Investment</t>
  </si>
  <si>
    <t>Government of Canada Investment in the VCCI Stream 3 Funds</t>
  </si>
  <si>
    <t>Primary Stage Focus of Overall VCCI 2017 Commitments to Canadian Funds</t>
  </si>
  <si>
    <t>Cleantech Sub-Sector Breakdown Across All Streams of VCCI</t>
  </si>
  <si>
    <t>Proportion of Underlying Canadian VC Fund Managers Supported under VCCI 2017 That Raise Follow-on Funds</t>
  </si>
  <si>
    <t>Canadian Venture Capital Funds Supported by VCCI 2017</t>
  </si>
  <si>
    <t>Table 1: Total Capital Raised by the VCCI 2017 Funds-of-Funds</t>
  </si>
  <si>
    <t xml:space="preserve">  </t>
  </si>
  <si>
    <t>Table 17: Primary Stage Focus of Overall VCCI 2017 Commitments to Canadian Funds (as of December 31, 2024)</t>
  </si>
  <si>
    <t>Table 18: Primary Sector Focus of Overall VCCI 2017 Commitments to Canadian Funds (as of December 31, 2024)</t>
  </si>
  <si>
    <t>Released on March 31, 2026</t>
  </si>
  <si>
    <t>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</si>
</sst>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44" formatCode="_-&quot;$&quot;* #,##0.00_-;\-&quot;$&quot;* #,##0.00_-;_-&quot;$&quot;* &quot;-&quot;??_-;_-@_-"/>
    <numFmt numFmtId="43" formatCode="_-* #,##0.00_-;\-* #,##0.00_-;_-* &quot;-&quot;??_-;_-@_-"/>
    <numFmt numFmtId="164" formatCode="#,##0.0"/>
    <numFmt numFmtId="165" formatCode="0.0%"/>
    <numFmt numFmtId="166" formatCode="0.0"/>
    <numFmt numFmtId="167" formatCode="&quot;$&quot;#,##0"/>
    <numFmt numFmtId="168" formatCode="0.00\x"/>
    <numFmt numFmtId="169" formatCode="_-* #,##0_-;\-* #,##0_-;_-* &quot;-&quot;??_-;_-@_-"/>
  </numFmts>
  <fonts count="25"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Arial"/>
      <family val="2"/>
    </font>
    <font>
      <b/>
      <sz val="13"/>
      <color theme="1"/>
      <name val="Calibri"/>
      <family val="2"/>
      <scheme val="minor"/>
    </font>
    <font>
      <sz val="13"/>
      <color theme="1"/>
      <name val="Calibri"/>
      <family val="2"/>
      <scheme val="minor"/>
    </font>
    <font>
      <sz val="12"/>
      <color theme="1"/>
      <name val="Arial"/>
      <family val="2"/>
    </font>
    <font>
      <b/>
      <sz val="12"/>
      <color rgb="FF333333"/>
      <name val="Arial"/>
      <family val="2"/>
    </font>
    <font>
      <sz val="12"/>
      <name val="Arial"/>
      <family val="2"/>
    </font>
    <font>
      <sz val="11"/>
      <name val="Calibri"/>
      <family val="2"/>
      <scheme val="minor"/>
    </font>
    <font>
      <sz val="8"/>
      <name val="Calibri"/>
      <family val="2"/>
      <scheme val="minor"/>
    </font>
    <font>
      <b/>
      <sz val="12"/>
      <name val="Arial"/>
      <family val="2"/>
    </font>
    <font>
      <sz val="10"/>
      <name val="Arial"/>
      <family val="2"/>
    </font>
    <font>
      <u/>
      <sz val="10"/>
      <color indexed="12"/>
      <name val="Arial"/>
      <family val="2"/>
    </font>
    <font>
      <u/>
      <sz val="10"/>
      <name val="Arial"/>
      <family val="2"/>
    </font>
    <font>
      <sz val="8"/>
      <color theme="1"/>
      <name val="Arial"/>
      <family val="2"/>
    </font>
    <font>
      <b/>
      <sz val="16"/>
      <color theme="1"/>
      <name val="Calibri"/>
      <family val="2"/>
      <scheme val="minor"/>
    </font>
    <font>
      <sz val="8"/>
      <name val="Arial"/>
      <family val="2"/>
    </font>
    <font>
      <b/>
      <u/>
      <sz val="12"/>
      <name val="Arial"/>
      <family val="2"/>
    </font>
    <font>
      <b/>
      <sz val="11"/>
      <name val="Calibri"/>
      <family val="2"/>
      <scheme val="minor"/>
    </font>
    <font>
      <sz val="10"/>
      <color theme="1"/>
      <name val="Arial"/>
      <family val="2"/>
    </font>
    <font>
      <sz val="11"/>
      <color theme="1"/>
      <name val="Arial"/>
      <family val="2"/>
    </font>
    <font>
      <b/>
      <sz val="22"/>
      <color rgb="FF050A33"/>
      <name val="Arial"/>
      <family val="2"/>
    </font>
    <font>
      <b/>
      <sz val="22"/>
      <color theme="1"/>
      <name val="Arial"/>
      <family val="2"/>
    </font>
    <font>
      <b/>
      <sz val="18"/>
      <color theme="1"/>
      <name val="Arial"/>
      <family val="2"/>
    </font>
  </fonts>
  <fills count="13">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0"/>
        <bgColor indexed="64"/>
      </patternFill>
    </fill>
    <fill>
      <patternFill patternType="solid">
        <fgColor theme="6" tint="0.59999389629810485"/>
        <bgColor indexed="65"/>
      </patternFill>
    </fill>
  </fills>
  <borders count="18">
    <border>
      <left/>
      <right/>
      <top/>
      <bottom/>
      <diagonal/>
    </border>
    <border>
      <left style="thin">
        <color rgb="FFB2B2B2"/>
      </left>
      <right style="thin">
        <color rgb="FFB2B2B2"/>
      </right>
      <top style="thin">
        <color rgb="FFB2B2B2"/>
      </top>
      <bottom style="thin">
        <color rgb="FFB2B2B2"/>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9">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2" borderId="1" applyNumberFormat="0" applyFont="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9"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2" fillId="0" borderId="0"/>
    <xf numFmtId="0" fontId="13" fillId="0" borderId="0" applyNumberFormat="0" applyFill="0" applyBorder="0" applyAlignment="0" applyProtection="0">
      <alignment vertical="top"/>
      <protection locked="0"/>
    </xf>
    <xf numFmtId="0" fontId="1" fillId="12" borderId="0" applyNumberFormat="0" applyBorder="0" applyAlignment="0" applyProtection="0"/>
  </cellStyleXfs>
  <cellXfs count="243">
    <xf numFmtId="0" fontId="0" fillId="0" borderId="0" xfId="0"/>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0" fillId="0" borderId="0" xfId="0" applyAlignment="1">
      <alignment horizontal="left"/>
    </xf>
    <xf numFmtId="164" fontId="6" fillId="0" borderId="0" xfId="0" applyNumberFormat="1" applyFont="1" applyAlignment="1">
      <alignment horizontal="right"/>
    </xf>
    <xf numFmtId="9" fontId="6" fillId="0" borderId="0" xfId="0" applyNumberFormat="1" applyFont="1" applyAlignment="1">
      <alignment horizontal="right"/>
    </xf>
    <xf numFmtId="0" fontId="2" fillId="0" borderId="0" xfId="0" applyFont="1"/>
    <xf numFmtId="0" fontId="0" fillId="0" borderId="0" xfId="8" applyFont="1" applyFill="1"/>
    <xf numFmtId="0" fontId="0" fillId="0" borderId="0" xfId="7" applyFont="1" applyFill="1"/>
    <xf numFmtId="0" fontId="0" fillId="0" borderId="2" xfId="8" applyFont="1" applyFill="1" applyBorder="1"/>
    <xf numFmtId="167" fontId="0" fillId="0" borderId="0" xfId="8" applyNumberFormat="1" applyFont="1" applyFill="1"/>
    <xf numFmtId="0" fontId="0" fillId="0" borderId="2" xfId="0" applyBorder="1"/>
    <xf numFmtId="167" fontId="0" fillId="0" borderId="0" xfId="0" applyNumberFormat="1"/>
    <xf numFmtId="0" fontId="0" fillId="0" borderId="2" xfId="7" applyFont="1" applyFill="1" applyBorder="1"/>
    <xf numFmtId="167" fontId="0" fillId="0" borderId="0" xfId="7" applyNumberFormat="1" applyFont="1" applyFill="1"/>
    <xf numFmtId="167" fontId="9" fillId="0" borderId="0" xfId="0" applyNumberFormat="1" applyFont="1"/>
    <xf numFmtId="3" fontId="6" fillId="0" borderId="0" xfId="0" applyNumberFormat="1" applyFont="1" applyAlignment="1">
      <alignment horizontal="right"/>
    </xf>
    <xf numFmtId="3" fontId="3" fillId="0" borderId="0" xfId="0" applyNumberFormat="1" applyFont="1" applyAlignment="1">
      <alignment horizontal="right"/>
    </xf>
    <xf numFmtId="9" fontId="3" fillId="0" borderId="0" xfId="0" applyNumberFormat="1" applyFont="1" applyAlignment="1">
      <alignment horizontal="right"/>
    </xf>
    <xf numFmtId="164" fontId="3" fillId="0" borderId="0" xfId="0" applyNumberFormat="1" applyFont="1" applyAlignment="1">
      <alignment horizontal="right"/>
    </xf>
    <xf numFmtId="3" fontId="6" fillId="0" borderId="0" xfId="0" applyNumberFormat="1" applyFont="1" applyAlignment="1">
      <alignment horizontal="center"/>
    </xf>
    <xf numFmtId="9" fontId="3" fillId="0" borderId="0" xfId="0" applyNumberFormat="1" applyFont="1"/>
    <xf numFmtId="3" fontId="3" fillId="0" borderId="0" xfId="0" applyNumberFormat="1" applyFont="1" applyAlignment="1">
      <alignment horizontal="center"/>
    </xf>
    <xf numFmtId="0" fontId="6" fillId="0" borderId="0" xfId="0" applyFont="1" applyAlignment="1">
      <alignment horizontal="right"/>
    </xf>
    <xf numFmtId="169" fontId="0" fillId="0" borderId="0" xfId="1" applyNumberFormat="1" applyFont="1" applyFill="1"/>
    <xf numFmtId="169" fontId="0" fillId="0" borderId="0" xfId="1" applyNumberFormat="1" applyFont="1"/>
    <xf numFmtId="166" fontId="6" fillId="0" borderId="0" xfId="1" applyNumberFormat="1" applyFont="1" applyAlignment="1">
      <alignment horizontal="right"/>
    </xf>
    <xf numFmtId="166" fontId="3" fillId="0" borderId="0" xfId="1" applyNumberFormat="1" applyFont="1" applyAlignment="1">
      <alignment horizontal="right"/>
    </xf>
    <xf numFmtId="166" fontId="6" fillId="0" borderId="0" xfId="0" applyNumberFormat="1" applyFont="1" applyAlignment="1">
      <alignment horizontal="right"/>
    </xf>
    <xf numFmtId="0" fontId="4" fillId="0" borderId="0" xfId="0" applyFont="1" applyAlignment="1">
      <alignment horizontal="center"/>
    </xf>
    <xf numFmtId="0" fontId="0" fillId="0" borderId="0" xfId="0" applyAlignment="1">
      <alignment horizontal="center"/>
    </xf>
    <xf numFmtId="0" fontId="12" fillId="11" borderId="5" xfId="16" applyFill="1" applyBorder="1"/>
    <xf numFmtId="0" fontId="12" fillId="11" borderId="6" xfId="16" applyFill="1" applyBorder="1"/>
    <xf numFmtId="0" fontId="12" fillId="11" borderId="6" xfId="16" applyFill="1" applyBorder="1" applyAlignment="1">
      <alignment vertical="center" wrapText="1"/>
    </xf>
    <xf numFmtId="0" fontId="12" fillId="11" borderId="6" xfId="16" applyFill="1" applyBorder="1" applyAlignment="1">
      <alignment horizontal="left" vertical="top"/>
    </xf>
    <xf numFmtId="3" fontId="12" fillId="11" borderId="6" xfId="16" applyNumberFormat="1" applyFill="1" applyBorder="1"/>
    <xf numFmtId="0" fontId="13" fillId="11" borderId="7" xfId="17" applyFill="1" applyBorder="1" applyAlignment="1" applyProtection="1">
      <alignment vertical="top" wrapText="1"/>
    </xf>
    <xf numFmtId="0" fontId="12" fillId="11" borderId="8" xfId="16" applyFill="1" applyBorder="1"/>
    <xf numFmtId="0" fontId="12" fillId="11" borderId="0" xfId="16" applyFill="1"/>
    <xf numFmtId="0" fontId="12" fillId="11" borderId="0" xfId="16" applyFill="1" applyAlignment="1">
      <alignment horizontal="left" vertical="center"/>
    </xf>
    <xf numFmtId="0" fontId="12" fillId="11" borderId="0" xfId="16" applyFill="1" applyAlignment="1">
      <alignment vertical="center"/>
    </xf>
    <xf numFmtId="0" fontId="13" fillId="11" borderId="9" xfId="17" applyFill="1" applyBorder="1" applyAlignment="1" applyProtection="1"/>
    <xf numFmtId="0" fontId="14" fillId="11" borderId="9" xfId="17" applyFont="1" applyFill="1" applyBorder="1" applyAlignment="1" applyProtection="1"/>
    <xf numFmtId="0" fontId="12" fillId="11" borderId="0" xfId="16" applyFill="1" applyAlignment="1">
      <alignment horizontal="left" vertical="top"/>
    </xf>
    <xf numFmtId="0" fontId="12" fillId="11" borderId="10" xfId="16" applyFill="1" applyBorder="1"/>
    <xf numFmtId="0" fontId="12" fillId="11" borderId="11" xfId="16" applyFill="1" applyBorder="1"/>
    <xf numFmtId="0" fontId="12" fillId="11" borderId="11" xfId="16" applyFill="1" applyBorder="1" applyAlignment="1">
      <alignment horizontal="left" vertical="top"/>
    </xf>
    <xf numFmtId="3" fontId="12" fillId="11" borderId="11" xfId="16" applyNumberFormat="1" applyFill="1" applyBorder="1"/>
    <xf numFmtId="0" fontId="13" fillId="11" borderId="12" xfId="17" applyFill="1" applyBorder="1" applyAlignment="1" applyProtection="1"/>
    <xf numFmtId="0" fontId="11" fillId="0" borderId="0" xfId="0" applyFont="1" applyAlignment="1">
      <alignment horizontal="center"/>
    </xf>
    <xf numFmtId="0" fontId="15" fillId="0" borderId="0" xfId="0" applyFont="1"/>
    <xf numFmtId="0" fontId="3" fillId="0" borderId="0" xfId="0" applyFont="1" applyAlignment="1">
      <alignment horizontal="center"/>
    </xf>
    <xf numFmtId="0" fontId="3" fillId="0" borderId="0" xfId="0" applyFont="1" applyAlignment="1">
      <alignment horizontal="left"/>
    </xf>
    <xf numFmtId="0" fontId="11" fillId="0" borderId="0" xfId="0" applyFont="1" applyAlignment="1">
      <alignment vertical="center"/>
    </xf>
    <xf numFmtId="0" fontId="3" fillId="0" borderId="0" xfId="0" applyFont="1" applyAlignment="1">
      <alignment vertical="center"/>
    </xf>
    <xf numFmtId="0" fontId="3" fillId="0" borderId="15" xfId="0" applyFont="1" applyBorder="1" applyAlignment="1">
      <alignment horizontal="left"/>
    </xf>
    <xf numFmtId="0" fontId="16" fillId="0" borderId="0" xfId="0" applyFont="1" applyAlignment="1">
      <alignment horizontal="center"/>
    </xf>
    <xf numFmtId="0" fontId="11" fillId="0" borderId="15" xfId="0" applyFont="1" applyBorder="1"/>
    <xf numFmtId="0" fontId="3" fillId="0" borderId="15" xfId="0" applyFont="1" applyBorder="1"/>
    <xf numFmtId="0" fontId="15" fillId="0" borderId="0" xfId="0" applyFont="1" applyAlignment="1">
      <alignment vertical="top" wrapText="1"/>
    </xf>
    <xf numFmtId="166" fontId="0" fillId="0" borderId="0" xfId="0" applyNumberFormat="1"/>
    <xf numFmtId="166" fontId="6" fillId="0" borderId="0" xfId="1" applyNumberFormat="1" applyFont="1" applyBorder="1" applyAlignment="1">
      <alignment horizontal="right"/>
    </xf>
    <xf numFmtId="165" fontId="6" fillId="0" borderId="0" xfId="0" applyNumberFormat="1" applyFont="1" applyAlignment="1">
      <alignment horizontal="right"/>
    </xf>
    <xf numFmtId="166" fontId="3" fillId="0" borderId="0" xfId="1" applyNumberFormat="1" applyFont="1" applyBorder="1" applyAlignment="1">
      <alignment horizontal="right"/>
    </xf>
    <xf numFmtId="0" fontId="11" fillId="0" borderId="0" xfId="0" applyFont="1"/>
    <xf numFmtId="0" fontId="8" fillId="0" borderId="0" xfId="0" applyFont="1"/>
    <xf numFmtId="0" fontId="9" fillId="0" borderId="0" xfId="0" applyFont="1"/>
    <xf numFmtId="9" fontId="9" fillId="0" borderId="0" xfId="0" applyNumberFormat="1" applyFont="1"/>
    <xf numFmtId="3" fontId="9" fillId="0" borderId="0" xfId="0" applyNumberFormat="1" applyFont="1"/>
    <xf numFmtId="0" fontId="8" fillId="0" borderId="2" xfId="0" applyFont="1" applyBorder="1"/>
    <xf numFmtId="0" fontId="17" fillId="0" borderId="0" xfId="0" applyFont="1"/>
    <xf numFmtId="0" fontId="17" fillId="0" borderId="0" xfId="0" applyFont="1" applyAlignment="1">
      <alignment vertical="center"/>
    </xf>
    <xf numFmtId="166" fontId="8" fillId="0" borderId="0" xfId="0" applyNumberFormat="1" applyFont="1" applyAlignment="1">
      <alignment horizontal="right"/>
    </xf>
    <xf numFmtId="0" fontId="9" fillId="0" borderId="0" xfId="8" applyFont="1" applyFill="1"/>
    <xf numFmtId="167" fontId="9" fillId="0" borderId="0" xfId="8" applyNumberFormat="1" applyFont="1" applyFill="1" applyAlignment="1">
      <alignment horizontal="right"/>
    </xf>
    <xf numFmtId="0" fontId="11" fillId="0" borderId="0" xfId="0" applyFont="1" applyAlignment="1">
      <alignment horizontal="left"/>
    </xf>
    <xf numFmtId="0" fontId="11" fillId="0" borderId="0" xfId="0" applyFont="1" applyAlignment="1">
      <alignment horizontal="right"/>
    </xf>
    <xf numFmtId="0" fontId="9" fillId="0" borderId="0" xfId="5" applyFont="1" applyFill="1"/>
    <xf numFmtId="167" fontId="9" fillId="0" borderId="0" xfId="5" applyNumberFormat="1" applyFont="1" applyFill="1" applyAlignment="1">
      <alignment horizontal="right"/>
    </xf>
    <xf numFmtId="165" fontId="8" fillId="0" borderId="0" xfId="0" applyNumberFormat="1" applyFont="1"/>
    <xf numFmtId="0" fontId="9" fillId="0" borderId="0" xfId="9" applyFont="1" applyFill="1"/>
    <xf numFmtId="167" fontId="9" fillId="0" borderId="0" xfId="9" applyNumberFormat="1" applyFont="1" applyFill="1" applyAlignment="1">
      <alignment horizontal="right"/>
    </xf>
    <xf numFmtId="0" fontId="9" fillId="0" borderId="0" xfId="10" applyFont="1" applyFill="1"/>
    <xf numFmtId="167" fontId="9" fillId="0" borderId="0" xfId="10" applyNumberFormat="1" applyFont="1" applyFill="1" applyAlignment="1">
      <alignment horizontal="right"/>
    </xf>
    <xf numFmtId="0" fontId="9" fillId="0" borderId="0" xfId="7" applyFont="1" applyFill="1"/>
    <xf numFmtId="166" fontId="9" fillId="0" borderId="0" xfId="7" applyNumberFormat="1" applyFont="1" applyFill="1"/>
    <xf numFmtId="167" fontId="9" fillId="0" borderId="0" xfId="7" applyNumberFormat="1" applyFont="1" applyFill="1" applyAlignment="1">
      <alignment horizontal="right"/>
    </xf>
    <xf numFmtId="0" fontId="18" fillId="0" borderId="0" xfId="0" applyFont="1"/>
    <xf numFmtId="166" fontId="11" fillId="0" borderId="0" xfId="10" applyNumberFormat="1" applyFont="1" applyFill="1"/>
    <xf numFmtId="165" fontId="11" fillId="0" borderId="0" xfId="10" applyNumberFormat="1" applyFont="1" applyFill="1"/>
    <xf numFmtId="0" fontId="9" fillId="0" borderId="0" xfId="6" applyFont="1" applyFill="1"/>
    <xf numFmtId="167" fontId="9" fillId="0" borderId="0" xfId="6" applyNumberFormat="1" applyFont="1" applyFill="1" applyAlignment="1">
      <alignment horizontal="right"/>
    </xf>
    <xf numFmtId="167" fontId="9" fillId="0" borderId="0" xfId="0" applyNumberFormat="1" applyFont="1" applyAlignment="1">
      <alignment horizontal="right"/>
    </xf>
    <xf numFmtId="167" fontId="19" fillId="0" borderId="0" xfId="5" applyNumberFormat="1" applyFont="1" applyFill="1"/>
    <xf numFmtId="0" fontId="9" fillId="0" borderId="0" xfId="0" applyFont="1" applyAlignment="1">
      <alignment horizontal="left" vertical="center" wrapText="1"/>
    </xf>
    <xf numFmtId="0" fontId="9" fillId="0" borderId="2" xfId="8" applyFont="1" applyFill="1" applyBorder="1"/>
    <xf numFmtId="167" fontId="9" fillId="0" borderId="0" xfId="8" applyNumberFormat="1" applyFont="1" applyFill="1"/>
    <xf numFmtId="0" fontId="9" fillId="0" borderId="2" xfId="0" applyFont="1" applyBorder="1"/>
    <xf numFmtId="0" fontId="9" fillId="0" borderId="2" xfId="7" applyFont="1" applyFill="1" applyBorder="1"/>
    <xf numFmtId="167" fontId="9" fillId="0" borderId="0" xfId="7" applyNumberFormat="1" applyFont="1" applyFill="1"/>
    <xf numFmtId="165" fontId="9" fillId="0" borderId="0" xfId="0" applyNumberFormat="1" applyFont="1"/>
    <xf numFmtId="167" fontId="9" fillId="0" borderId="0" xfId="3" applyNumberFormat="1" applyFont="1" applyFill="1" applyBorder="1"/>
    <xf numFmtId="165" fontId="9" fillId="0" borderId="0" xfId="2" applyNumberFormat="1" applyFont="1"/>
    <xf numFmtId="165" fontId="9" fillId="0" borderId="0" xfId="7" applyNumberFormat="1" applyFont="1" applyFill="1" applyAlignment="1">
      <alignment horizontal="right"/>
    </xf>
    <xf numFmtId="165" fontId="9" fillId="0" borderId="0" xfId="8" applyNumberFormat="1" applyFont="1" applyFill="1"/>
    <xf numFmtId="165" fontId="9" fillId="0" borderId="0" xfId="8" applyNumberFormat="1" applyFont="1" applyFill="1" applyAlignment="1">
      <alignment horizontal="right"/>
    </xf>
    <xf numFmtId="167" fontId="9" fillId="0" borderId="0" xfId="2" applyNumberFormat="1" applyFont="1" applyAlignment="1">
      <alignment horizontal="right"/>
    </xf>
    <xf numFmtId="167" fontId="9" fillId="0" borderId="0" xfId="3" applyNumberFormat="1" applyFont="1" applyFill="1" applyBorder="1" applyAlignment="1">
      <alignment horizontal="right"/>
    </xf>
    <xf numFmtId="165" fontId="9" fillId="0" borderId="0" xfId="2" applyNumberFormat="1" applyFont="1" applyAlignment="1">
      <alignment horizontal="right"/>
    </xf>
    <xf numFmtId="167" fontId="19" fillId="0" borderId="0" xfId="4" applyNumberFormat="1" applyFont="1" applyFill="1"/>
    <xf numFmtId="0" fontId="19" fillId="0" borderId="0" xfId="0" applyFont="1"/>
    <xf numFmtId="169" fontId="9" fillId="0" borderId="0" xfId="1" applyNumberFormat="1" applyFont="1" applyFill="1"/>
    <xf numFmtId="167" fontId="19" fillId="0" borderId="0" xfId="0" applyNumberFormat="1" applyFont="1"/>
    <xf numFmtId="169" fontId="9" fillId="0" borderId="0" xfId="1" applyNumberFormat="1" applyFont="1"/>
    <xf numFmtId="0" fontId="0" fillId="11" borderId="0" xfId="0" applyFill="1" applyAlignment="1">
      <alignment horizontal="left"/>
    </xf>
    <xf numFmtId="6" fontId="8" fillId="0" borderId="2" xfId="0" applyNumberFormat="1" applyFont="1" applyBorder="1" applyAlignment="1">
      <alignment horizontal="left"/>
    </xf>
    <xf numFmtId="0" fontId="8" fillId="0" borderId="2" xfId="0" applyFont="1" applyBorder="1" applyAlignment="1">
      <alignment vertical="center"/>
    </xf>
    <xf numFmtId="0" fontId="6" fillId="0" borderId="2" xfId="0" applyFont="1" applyBorder="1"/>
    <xf numFmtId="0" fontId="11" fillId="0" borderId="15" xfId="0" applyFont="1" applyBorder="1" applyAlignment="1">
      <alignment horizontal="left"/>
    </xf>
    <xf numFmtId="6" fontId="8" fillId="0" borderId="2" xfId="0" applyNumberFormat="1" applyFont="1" applyBorder="1"/>
    <xf numFmtId="0" fontId="6" fillId="0" borderId="2" xfId="0" applyFont="1" applyBorder="1" applyAlignment="1">
      <alignment horizontal="left"/>
    </xf>
    <xf numFmtId="0" fontId="6" fillId="0" borderId="13" xfId="0" applyFont="1" applyBorder="1" applyAlignment="1">
      <alignment horizontal="left" wrapText="1"/>
    </xf>
    <xf numFmtId="0" fontId="9" fillId="0" borderId="0" xfId="0" applyFont="1" applyAlignment="1">
      <alignment wrapText="1"/>
    </xf>
    <xf numFmtId="3" fontId="11" fillId="0" borderId="0" xfId="0" applyNumberFormat="1" applyFont="1" applyAlignment="1">
      <alignment horizontal="center"/>
    </xf>
    <xf numFmtId="9" fontId="11" fillId="0" borderId="0" xfId="0" applyNumberFormat="1" applyFont="1"/>
    <xf numFmtId="169" fontId="9" fillId="0" borderId="0" xfId="0" applyNumberFormat="1" applyFont="1"/>
    <xf numFmtId="3" fontId="8" fillId="0" borderId="0" xfId="0" applyNumberFormat="1" applyFont="1" applyAlignment="1">
      <alignment horizontal="center"/>
    </xf>
    <xf numFmtId="9" fontId="8" fillId="0" borderId="0" xfId="0" applyNumberFormat="1" applyFont="1" applyAlignment="1">
      <alignment horizontal="right"/>
    </xf>
    <xf numFmtId="164" fontId="11" fillId="0" borderId="0" xfId="0" applyNumberFormat="1" applyFont="1" applyAlignment="1">
      <alignment horizontal="right"/>
    </xf>
    <xf numFmtId="9" fontId="8" fillId="0" borderId="0" xfId="0" applyNumberFormat="1" applyFont="1"/>
    <xf numFmtId="166" fontId="8" fillId="0" borderId="0" xfId="0" applyNumberFormat="1" applyFont="1"/>
    <xf numFmtId="0" fontId="20" fillId="0" borderId="0" xfId="0" applyFont="1" applyAlignment="1">
      <alignment vertical="top" wrapText="1"/>
    </xf>
    <xf numFmtId="0" fontId="9" fillId="0" borderId="0" xfId="0" applyFont="1" applyAlignment="1">
      <alignment horizontal="left"/>
    </xf>
    <xf numFmtId="0" fontId="20" fillId="11" borderId="0" xfId="0" applyFont="1" applyFill="1"/>
    <xf numFmtId="0" fontId="12" fillId="0" borderId="0" xfId="0" applyFont="1" applyAlignment="1">
      <alignment vertical="top" wrapText="1"/>
    </xf>
    <xf numFmtId="0" fontId="6" fillId="0" borderId="0" xfId="7" applyNumberFormat="1" applyFont="1" applyFill="1" applyBorder="1" applyAlignment="1">
      <alignment horizontal="left"/>
    </xf>
    <xf numFmtId="0" fontId="6" fillId="0" borderId="3" xfId="18" applyFont="1" applyFill="1" applyBorder="1" applyAlignment="1">
      <alignment horizontal="left"/>
    </xf>
    <xf numFmtId="0" fontId="6" fillId="0" borderId="0" xfId="7" applyFont="1" applyFill="1" applyBorder="1" applyAlignment="1">
      <alignment horizontal="left"/>
    </xf>
    <xf numFmtId="0" fontId="6" fillId="0" borderId="0" xfId="18" applyFont="1" applyFill="1" applyBorder="1" applyAlignment="1">
      <alignment horizontal="left"/>
    </xf>
    <xf numFmtId="0" fontId="6" fillId="0" borderId="0" xfId="9" applyFont="1" applyFill="1" applyBorder="1" applyAlignment="1">
      <alignment horizontal="left"/>
    </xf>
    <xf numFmtId="0" fontId="6" fillId="0" borderId="0" xfId="9" applyNumberFormat="1" applyFont="1" applyFill="1" applyBorder="1" applyAlignment="1">
      <alignment horizontal="left"/>
    </xf>
    <xf numFmtId="9" fontId="0" fillId="0" borderId="0" xfId="2" applyFont="1"/>
    <xf numFmtId="9" fontId="6" fillId="0" borderId="0" xfId="2" applyFont="1" applyBorder="1" applyAlignment="1">
      <alignment horizontal="right"/>
    </xf>
    <xf numFmtId="9" fontId="3" fillId="0" borderId="0" xfId="2" applyFont="1" applyBorder="1" applyAlignment="1">
      <alignment horizontal="right"/>
    </xf>
    <xf numFmtId="3" fontId="11" fillId="0" borderId="0" xfId="0" applyNumberFormat="1" applyFont="1" applyAlignment="1">
      <alignment horizontal="right"/>
    </xf>
    <xf numFmtId="9" fontId="11" fillId="0" borderId="0" xfId="2" applyFont="1" applyBorder="1"/>
    <xf numFmtId="9" fontId="3" fillId="0" borderId="0" xfId="2" applyFont="1" applyAlignment="1">
      <alignment horizontal="right"/>
    </xf>
    <xf numFmtId="9" fontId="0" fillId="0" borderId="0" xfId="2" applyFont="1" applyBorder="1"/>
    <xf numFmtId="0" fontId="3" fillId="0" borderId="17" xfId="0" applyFont="1" applyBorder="1" applyAlignment="1">
      <alignment horizontal="left"/>
    </xf>
    <xf numFmtId="3" fontId="6" fillId="0" borderId="3" xfId="0" applyNumberFormat="1" applyFont="1" applyBorder="1" applyAlignment="1">
      <alignment horizontal="right"/>
    </xf>
    <xf numFmtId="3" fontId="3" fillId="0" borderId="17" xfId="0" applyNumberFormat="1" applyFont="1" applyBorder="1" applyAlignment="1">
      <alignment horizontal="right"/>
    </xf>
    <xf numFmtId="0" fontId="11" fillId="0" borderId="16" xfId="0" applyFont="1" applyBorder="1" applyAlignment="1">
      <alignment horizontal="left"/>
    </xf>
    <xf numFmtId="0" fontId="11" fillId="0" borderId="17" xfId="0" applyFont="1" applyBorder="1" applyAlignment="1">
      <alignment horizontal="left"/>
    </xf>
    <xf numFmtId="3" fontId="8" fillId="0" borderId="0" xfId="0" applyNumberFormat="1" applyFont="1" applyAlignment="1">
      <alignment horizontal="right"/>
    </xf>
    <xf numFmtId="9" fontId="8" fillId="0" borderId="3" xfId="2" applyFont="1" applyFill="1" applyBorder="1" applyAlignment="1">
      <alignment horizontal="right"/>
    </xf>
    <xf numFmtId="9" fontId="8" fillId="0" borderId="0" xfId="2" applyFont="1" applyFill="1"/>
    <xf numFmtId="165" fontId="11" fillId="0" borderId="0" xfId="2" applyNumberFormat="1" applyFont="1" applyFill="1"/>
    <xf numFmtId="3" fontId="11" fillId="0" borderId="16" xfId="0" applyNumberFormat="1" applyFont="1" applyBorder="1" applyAlignment="1">
      <alignment horizontal="right"/>
    </xf>
    <xf numFmtId="9" fontId="11" fillId="0" borderId="17" xfId="2" applyFont="1" applyFill="1" applyBorder="1" applyAlignment="1">
      <alignment horizontal="right"/>
    </xf>
    <xf numFmtId="3" fontId="8" fillId="0" borderId="0" xfId="0" applyNumberFormat="1" applyFont="1"/>
    <xf numFmtId="9" fontId="8" fillId="0" borderId="3" xfId="2" applyFont="1" applyFill="1" applyBorder="1"/>
    <xf numFmtId="0" fontId="11" fillId="0" borderId="16" xfId="0" applyFont="1" applyBorder="1"/>
    <xf numFmtId="3" fontId="11" fillId="0" borderId="16" xfId="0" applyNumberFormat="1" applyFont="1" applyBorder="1"/>
    <xf numFmtId="9" fontId="11" fillId="0" borderId="17" xfId="2" applyFont="1" applyFill="1" applyBorder="1"/>
    <xf numFmtId="0" fontId="8" fillId="0" borderId="13" xfId="0" applyFont="1" applyBorder="1"/>
    <xf numFmtId="166" fontId="8" fillId="0" borderId="14" xfId="0" applyNumberFormat="1" applyFont="1" applyBorder="1" applyAlignment="1">
      <alignment horizontal="right"/>
    </xf>
    <xf numFmtId="9" fontId="8" fillId="0" borderId="4" xfId="2" applyFont="1" applyFill="1" applyBorder="1"/>
    <xf numFmtId="9" fontId="8" fillId="0" borderId="0" xfId="2" applyFont="1" applyFill="1" applyBorder="1" applyAlignment="1">
      <alignment horizontal="right"/>
    </xf>
    <xf numFmtId="166" fontId="8" fillId="0" borderId="0" xfId="1" applyNumberFormat="1" applyFont="1" applyFill="1" applyBorder="1" applyAlignment="1">
      <alignment horizontal="right"/>
    </xf>
    <xf numFmtId="9" fontId="11" fillId="0" borderId="16" xfId="2" applyFont="1" applyFill="1" applyBorder="1" applyAlignment="1">
      <alignment horizontal="right"/>
    </xf>
    <xf numFmtId="166" fontId="11" fillId="0" borderId="16" xfId="1" applyNumberFormat="1" applyFont="1" applyFill="1" applyBorder="1" applyAlignment="1">
      <alignment horizontal="right"/>
    </xf>
    <xf numFmtId="0" fontId="3" fillId="0" borderId="16" xfId="0" applyFont="1" applyBorder="1"/>
    <xf numFmtId="0" fontId="3" fillId="0" borderId="17" xfId="0" applyFont="1" applyBorder="1"/>
    <xf numFmtId="9" fontId="6" fillId="0" borderId="0" xfId="2" applyFont="1" applyFill="1" applyAlignment="1">
      <alignment horizontal="right"/>
    </xf>
    <xf numFmtId="166" fontId="6" fillId="0" borderId="0" xfId="1" applyNumberFormat="1" applyFont="1" applyFill="1" applyBorder="1" applyAlignment="1">
      <alignment horizontal="right"/>
    </xf>
    <xf numFmtId="9" fontId="6" fillId="0" borderId="3" xfId="2" applyFont="1" applyFill="1" applyBorder="1" applyAlignment="1">
      <alignment horizontal="right"/>
    </xf>
    <xf numFmtId="9" fontId="0" fillId="0" borderId="0" xfId="2" applyFont="1" applyFill="1"/>
    <xf numFmtId="3" fontId="3" fillId="0" borderId="16" xfId="0" applyNumberFormat="1" applyFont="1" applyBorder="1" applyAlignment="1">
      <alignment horizontal="right"/>
    </xf>
    <xf numFmtId="9" fontId="3" fillId="0" borderId="16" xfId="2" applyFont="1" applyFill="1" applyBorder="1" applyAlignment="1">
      <alignment horizontal="right"/>
    </xf>
    <xf numFmtId="166" fontId="3" fillId="0" borderId="16" xfId="1" applyNumberFormat="1" applyFont="1" applyFill="1" applyBorder="1" applyAlignment="1">
      <alignment horizontal="right"/>
    </xf>
    <xf numFmtId="9" fontId="3" fillId="0" borderId="17" xfId="2" applyFont="1" applyFill="1" applyBorder="1" applyAlignment="1">
      <alignment horizontal="right"/>
    </xf>
    <xf numFmtId="0" fontId="3" fillId="0" borderId="16" xfId="0" applyFont="1" applyBorder="1" applyAlignment="1">
      <alignment horizontal="left"/>
    </xf>
    <xf numFmtId="0" fontId="3" fillId="0" borderId="16" xfId="0" applyFont="1" applyBorder="1" applyAlignment="1">
      <alignment horizontal="left" wrapText="1"/>
    </xf>
    <xf numFmtId="0" fontId="3" fillId="0" borderId="17" xfId="0" applyFont="1" applyBorder="1" applyAlignment="1">
      <alignment horizontal="left" wrapText="1"/>
    </xf>
    <xf numFmtId="3" fontId="6" fillId="0" borderId="14" xfId="0" applyNumberFormat="1" applyFont="1" applyBorder="1" applyAlignment="1">
      <alignment horizontal="right"/>
    </xf>
    <xf numFmtId="3" fontId="8" fillId="0" borderId="14" xfId="0" applyNumberFormat="1" applyFont="1" applyBorder="1" applyAlignment="1">
      <alignment horizontal="right" wrapText="1"/>
    </xf>
    <xf numFmtId="9" fontId="8" fillId="0" borderId="14" xfId="2" applyFont="1" applyFill="1" applyBorder="1" applyAlignment="1">
      <alignment horizontal="right"/>
    </xf>
    <xf numFmtId="3" fontId="8" fillId="0" borderId="14" xfId="0" applyNumberFormat="1" applyFont="1" applyBorder="1" applyAlignment="1">
      <alignment horizontal="right"/>
    </xf>
    <xf numFmtId="168" fontId="8" fillId="0" borderId="4" xfId="0" applyNumberFormat="1" applyFont="1" applyBorder="1" applyAlignment="1">
      <alignment horizontal="right"/>
    </xf>
    <xf numFmtId="10" fontId="8" fillId="0" borderId="4" xfId="2" applyNumberFormat="1" applyFont="1" applyFill="1" applyBorder="1" applyAlignment="1">
      <alignment horizontal="right"/>
    </xf>
    <xf numFmtId="3" fontId="3" fillId="0" borderId="17" xfId="0" applyNumberFormat="1" applyFont="1" applyBorder="1"/>
    <xf numFmtId="164" fontId="3" fillId="0" borderId="16" xfId="0" applyNumberFormat="1" applyFont="1" applyBorder="1" applyAlignment="1">
      <alignment horizontal="right"/>
    </xf>
    <xf numFmtId="9" fontId="6" fillId="0" borderId="0" xfId="0" applyNumberFormat="1" applyFont="1"/>
    <xf numFmtId="166" fontId="6" fillId="0" borderId="0" xfId="0" applyNumberFormat="1" applyFont="1"/>
    <xf numFmtId="0" fontId="11" fillId="0" borderId="16" xfId="0" applyFont="1" applyBorder="1" applyAlignment="1">
      <alignment horizontal="left" wrapText="1"/>
    </xf>
    <xf numFmtId="0" fontId="11" fillId="0" borderId="17" xfId="0" applyFont="1" applyBorder="1" applyAlignment="1">
      <alignment horizontal="left" wrapText="1"/>
    </xf>
    <xf numFmtId="0" fontId="8" fillId="0" borderId="13" xfId="0" applyFont="1" applyBorder="1" applyAlignment="1">
      <alignment horizontal="left" wrapText="1"/>
    </xf>
    <xf numFmtId="164" fontId="11" fillId="0" borderId="0" xfId="0" applyNumberFormat="1" applyFont="1" applyAlignment="1">
      <alignment horizontal="center"/>
    </xf>
    <xf numFmtId="9" fontId="8" fillId="0" borderId="0" xfId="2" applyFont="1" applyFill="1" applyAlignment="1">
      <alignment horizontal="right"/>
    </xf>
    <xf numFmtId="164" fontId="11" fillId="0" borderId="16" xfId="0" applyNumberFormat="1" applyFont="1" applyBorder="1" applyAlignment="1">
      <alignment horizontal="right"/>
    </xf>
    <xf numFmtId="0" fontId="11" fillId="0" borderId="16" xfId="0" applyFont="1" applyBorder="1" applyAlignment="1">
      <alignment horizontal="center"/>
    </xf>
    <xf numFmtId="9" fontId="11" fillId="0" borderId="16" xfId="2" applyFont="1" applyFill="1" applyBorder="1"/>
    <xf numFmtId="0" fontId="8" fillId="0" borderId="15" xfId="0" applyFont="1" applyBorder="1" applyAlignment="1">
      <alignment horizontal="left" wrapText="1"/>
    </xf>
    <xf numFmtId="3" fontId="8" fillId="0" borderId="16" xfId="0" applyNumberFormat="1" applyFont="1" applyBorder="1" applyAlignment="1">
      <alignment horizontal="right"/>
    </xf>
    <xf numFmtId="3" fontId="8" fillId="0" borderId="16" xfId="0" applyNumberFormat="1" applyFont="1" applyBorder="1" applyAlignment="1">
      <alignment horizontal="right" wrapText="1"/>
    </xf>
    <xf numFmtId="9" fontId="8" fillId="0" borderId="16" xfId="2" applyFont="1" applyFill="1" applyBorder="1" applyAlignment="1">
      <alignment horizontal="right"/>
    </xf>
    <xf numFmtId="168" fontId="8" fillId="0" borderId="17" xfId="0" applyNumberFormat="1" applyFont="1" applyBorder="1" applyAlignment="1">
      <alignment horizontal="right"/>
    </xf>
    <xf numFmtId="44" fontId="0" fillId="0" borderId="0" xfId="12" applyFont="1" applyFill="1"/>
    <xf numFmtId="9" fontId="3" fillId="0" borderId="16" xfId="0" applyNumberFormat="1" applyFont="1" applyBorder="1" applyAlignment="1">
      <alignment horizontal="right"/>
    </xf>
    <xf numFmtId="9" fontId="3" fillId="0" borderId="17" xfId="0" applyNumberFormat="1" applyFont="1" applyBorder="1" applyAlignment="1">
      <alignment horizontal="right"/>
    </xf>
    <xf numFmtId="9" fontId="3" fillId="0" borderId="0" xfId="2" applyFont="1" applyFill="1" applyAlignment="1">
      <alignment horizontal="right"/>
    </xf>
    <xf numFmtId="9" fontId="6" fillId="0" borderId="3" xfId="2" applyFont="1" applyFill="1" applyBorder="1"/>
    <xf numFmtId="9" fontId="3" fillId="0" borderId="17" xfId="2" applyFont="1" applyFill="1" applyBorder="1"/>
    <xf numFmtId="9" fontId="6" fillId="0" borderId="0" xfId="2" applyFont="1" applyFill="1" applyBorder="1" applyAlignment="1">
      <alignment horizontal="right"/>
    </xf>
    <xf numFmtId="9" fontId="8" fillId="0" borderId="0" xfId="2" applyFont="1" applyFill="1" applyBorder="1"/>
    <xf numFmtId="0" fontId="6" fillId="0" borderId="0" xfId="0" applyFont="1" applyAlignment="1">
      <alignment horizontal="left"/>
    </xf>
    <xf numFmtId="0" fontId="6" fillId="0" borderId="3" xfId="0" applyFont="1" applyBorder="1" applyAlignment="1">
      <alignment horizontal="left"/>
    </xf>
    <xf numFmtId="0" fontId="6" fillId="0" borderId="13" xfId="0" applyFont="1" applyBorder="1" applyAlignment="1">
      <alignment horizontal="left"/>
    </xf>
    <xf numFmtId="0" fontId="6" fillId="0" borderId="14" xfId="0" applyFont="1" applyBorder="1" applyAlignment="1">
      <alignment horizontal="left"/>
    </xf>
    <xf numFmtId="0" fontId="6" fillId="0" borderId="4" xfId="0" applyFont="1" applyBorder="1" applyAlignment="1">
      <alignment horizontal="left"/>
    </xf>
    <xf numFmtId="0" fontId="21" fillId="0" borderId="0" xfId="0" applyFont="1" applyAlignment="1">
      <alignment vertical="center"/>
    </xf>
    <xf numFmtId="0" fontId="21" fillId="0" borderId="0" xfId="0" applyFont="1"/>
    <xf numFmtId="0" fontId="22" fillId="0" borderId="0" xfId="0" applyFont="1"/>
    <xf numFmtId="0" fontId="22" fillId="0" borderId="0" xfId="0" applyFont="1" applyAlignment="1">
      <alignment horizontal="left"/>
    </xf>
    <xf numFmtId="0" fontId="23" fillId="0" borderId="0" xfId="0" applyFont="1" applyAlignment="1">
      <alignment horizontal="left"/>
    </xf>
    <xf numFmtId="0" fontId="24" fillId="0" borderId="0" xfId="0" applyFont="1"/>
    <xf numFmtId="49" fontId="22" fillId="0" borderId="0" xfId="0" applyNumberFormat="1" applyFont="1" applyAlignment="1">
      <alignment horizontal="left"/>
    </xf>
    <xf numFmtId="0" fontId="6" fillId="0" borderId="0" xfId="0" applyFont="1" applyAlignment="1">
      <alignment vertical="center"/>
    </xf>
    <xf numFmtId="9" fontId="3" fillId="0" borderId="0" xfId="2" applyFont="1" applyFill="1" applyBorder="1" applyAlignment="1">
      <alignment horizontal="right"/>
    </xf>
    <xf numFmtId="166" fontId="3" fillId="0" borderId="0" xfId="1" applyNumberFormat="1" applyFont="1" applyFill="1" applyBorder="1" applyAlignment="1">
      <alignment horizontal="right"/>
    </xf>
    <xf numFmtId="9" fontId="11" fillId="0" borderId="0" xfId="2" applyFont="1" applyFill="1" applyBorder="1" applyAlignment="1">
      <alignment horizontal="right"/>
    </xf>
    <xf numFmtId="165" fontId="6" fillId="0" borderId="3" xfId="2" applyNumberFormat="1" applyFont="1" applyFill="1" applyBorder="1" applyAlignment="1">
      <alignment horizontal="right"/>
    </xf>
    <xf numFmtId="0" fontId="3" fillId="0" borderId="15" xfId="0" applyFont="1" applyBorder="1" applyAlignment="1">
      <alignment horizontal="left" wrapText="1"/>
    </xf>
    <xf numFmtId="0" fontId="6" fillId="0" borderId="13" xfId="0" applyFont="1" applyBorder="1" applyAlignment="1">
      <alignment horizontal="right"/>
    </xf>
    <xf numFmtId="0" fontId="6" fillId="0" borderId="14" xfId="0" applyFont="1" applyBorder="1" applyAlignment="1">
      <alignment horizontal="right"/>
    </xf>
    <xf numFmtId="9" fontId="6" fillId="0" borderId="4" xfId="2" applyFont="1" applyFill="1" applyBorder="1" applyAlignment="1">
      <alignment horizontal="right"/>
    </xf>
    <xf numFmtId="0" fontId="20" fillId="0" borderId="0" xfId="0" applyFont="1" applyAlignment="1">
      <alignment horizontal="left" vertical="top" wrapText="1"/>
    </xf>
    <xf numFmtId="0" fontId="12" fillId="0" borderId="0" xfId="0" applyFont="1" applyAlignment="1">
      <alignment horizontal="left" vertical="top" wrapText="1"/>
    </xf>
    <xf numFmtId="0" fontId="3" fillId="0" borderId="0" xfId="0" applyFont="1" applyAlignment="1">
      <alignment horizontal="center"/>
    </xf>
    <xf numFmtId="0" fontId="11" fillId="0" borderId="0" xfId="0" applyFont="1" applyAlignment="1">
      <alignment horizontal="center"/>
    </xf>
  </cellXfs>
  <cellStyles count="19">
    <cellStyle name="20% - Accent1" xfId="4" builtinId="30"/>
    <cellStyle name="20% - Accent2" xfId="6" builtinId="34"/>
    <cellStyle name="20% - Accent3" xfId="7" builtinId="38"/>
    <cellStyle name="20% - Accent4" xfId="8" builtinId="42"/>
    <cellStyle name="20% - Accent6" xfId="10" builtinId="50"/>
    <cellStyle name="40% - Accent1" xfId="5" builtinId="31"/>
    <cellStyle name="40% - Accent3" xfId="18" builtinId="39"/>
    <cellStyle name="40% - Accent4" xfId="9" builtinId="43"/>
    <cellStyle name="40% - Accent5 2" xfId="11" xr:uid="{4DCBDC47-9059-4F4D-BD9F-5150546E72E9}"/>
    <cellStyle name="Comma" xfId="1" builtinId="3"/>
    <cellStyle name="Currency" xfId="12" builtinId="4"/>
    <cellStyle name="Hyperlink" xfId="17" builtinId="8"/>
    <cellStyle name="Normal" xfId="0" builtinId="0"/>
    <cellStyle name="Normal 19" xfId="14" xr:uid="{2946F817-D167-47EB-9467-E2BF920547D1}"/>
    <cellStyle name="Normal 2" xfId="16" xr:uid="{5AA5A0B4-4AC1-4133-A1A6-7314A645A296}"/>
    <cellStyle name="Normal 20" xfId="15" xr:uid="{1CA3D83C-A0B0-43A6-AA37-9F3B9A97C2C5}"/>
    <cellStyle name="Note" xfId="3" builtinId="10"/>
    <cellStyle name="Percent" xfId="2" builtinId="5"/>
    <cellStyle name="Percent 2" xfId="13" xr:uid="{FBE8B68A-CA04-4B0E-BCAC-4DA0AAA28A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7514166" cy="748926"/>
    <xdr:pic>
      <xdr:nvPicPr>
        <xdr:cNvPr id="3" name="Picture 2">
          <a:extLst>
            <a:ext uri="{FF2B5EF4-FFF2-40B4-BE49-F238E27FC236}">
              <a16:creationId xmlns:a16="http://schemas.microsoft.com/office/drawing/2014/main" id="{721D51F1-78BD-48E4-8B47-63C25429EE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514166" cy="748926"/>
        </a:xfrm>
        <a:prstGeom prst="rect">
          <a:avLst/>
        </a:prstGeom>
      </xdr:spPr>
    </xdr:pic>
    <xdr:clientData/>
  </xdr:oneCellAnchor>
  <xdr:twoCellAnchor>
    <xdr:from>
      <xdr:col>0</xdr:col>
      <xdr:colOff>1655963</xdr:colOff>
      <xdr:row>19</xdr:row>
      <xdr:rowOff>11893</xdr:rowOff>
    </xdr:from>
    <xdr:to>
      <xdr:col>4</xdr:col>
      <xdr:colOff>148166</xdr:colOff>
      <xdr:row>37</xdr:row>
      <xdr:rowOff>122145</xdr:rowOff>
    </xdr:to>
    <xdr:grpSp>
      <xdr:nvGrpSpPr>
        <xdr:cNvPr id="4" name="Group 3">
          <a:extLst>
            <a:ext uri="{FF2B5EF4-FFF2-40B4-BE49-F238E27FC236}">
              <a16:creationId xmlns:a16="http://schemas.microsoft.com/office/drawing/2014/main" id="{73D2899A-52C1-44E4-8BF5-E244B3F958F9}"/>
            </a:ext>
          </a:extLst>
        </xdr:cNvPr>
        <xdr:cNvGrpSpPr/>
      </xdr:nvGrpSpPr>
      <xdr:grpSpPr>
        <a:xfrm>
          <a:off x="1655963" y="4530976"/>
          <a:ext cx="5667703" cy="3560419"/>
          <a:chOff x="1655964" y="4443949"/>
          <a:chExt cx="6174373" cy="3438140"/>
        </a:xfrm>
      </xdr:grpSpPr>
      <xdr:pic>
        <xdr:nvPicPr>
          <xdr:cNvPr id="5" name="Picture 4" descr="A blue circle with black background&#10;&#10;Description automatically generated">
            <a:extLst>
              <a:ext uri="{FF2B5EF4-FFF2-40B4-BE49-F238E27FC236}">
                <a16:creationId xmlns:a16="http://schemas.microsoft.com/office/drawing/2014/main" id="{4CF2F931-0569-BF19-1E82-17AADC47523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48621"/>
          <a:stretch/>
        </xdr:blipFill>
        <xdr:spPr bwMode="auto">
          <a:xfrm>
            <a:off x="1655964" y="6374556"/>
            <a:ext cx="3729420" cy="1497129"/>
          </a:xfrm>
          <a:prstGeom prst="rect">
            <a:avLst/>
          </a:prstGeom>
          <a:ln>
            <a:noFill/>
          </a:ln>
          <a:extLst>
            <a:ext uri="{53640926-AAD7-44D8-BBD7-CCE9431645EC}">
              <a14:shadowObscured xmlns:a14="http://schemas.microsoft.com/office/drawing/2010/main"/>
            </a:ext>
          </a:extLst>
        </xdr:spPr>
      </xdr:pic>
      <xdr:pic>
        <xdr:nvPicPr>
          <xdr:cNvPr id="6" name="Picture 5" descr="A yellow and black circle&#10;&#10;Description automatically generated">
            <a:extLst>
              <a:ext uri="{FF2B5EF4-FFF2-40B4-BE49-F238E27FC236}">
                <a16:creationId xmlns:a16="http://schemas.microsoft.com/office/drawing/2014/main" id="{1D659200-ADF4-7AA1-B38B-9F252DBE32A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278032" y="4443949"/>
            <a:ext cx="3552305" cy="343814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228600</xdr:colOff>
      <xdr:row>1</xdr:row>
      <xdr:rowOff>9524</xdr:rowOff>
    </xdr:from>
    <xdr:to>
      <xdr:col>3</xdr:col>
      <xdr:colOff>57150</xdr:colOff>
      <xdr:row>47</xdr:row>
      <xdr:rowOff>142875</xdr:rowOff>
    </xdr:to>
    <xdr:sp macro="" textlink="">
      <xdr:nvSpPr>
        <xdr:cNvPr id="2" name="TextBox 1">
          <a:extLst>
            <a:ext uri="{FF2B5EF4-FFF2-40B4-BE49-F238E27FC236}">
              <a16:creationId xmlns:a16="http://schemas.microsoft.com/office/drawing/2014/main" id="{EFDAB8D7-4710-4883-A747-0155CC886E2A}"/>
            </a:ext>
          </a:extLst>
        </xdr:cNvPr>
        <xdr:cNvSpPr txBox="1"/>
      </xdr:nvSpPr>
      <xdr:spPr>
        <a:xfrm>
          <a:off x="228600" y="276224"/>
          <a:ext cx="6705600" cy="8896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These</a:t>
          </a:r>
          <a:r>
            <a:rPr lang="en-CA" sz="1100" baseline="0"/>
            <a:t> tables are</a:t>
          </a:r>
          <a:r>
            <a:rPr lang="en-CA" sz="1100"/>
            <a:t> updated annually and contain information on investment activities</a:t>
          </a:r>
          <a:r>
            <a:rPr lang="en-CA" sz="1100" baseline="0"/>
            <a:t> and financial performance for the Venture Capital Catalyst Initiative 2017 (VCCI 2017) . The latest annual data is available as of December 31, 2024.</a:t>
          </a:r>
        </a:p>
        <a:p>
          <a:endParaRPr lang="en-CA" sz="1100" baseline="0"/>
        </a:p>
        <a:p>
          <a:r>
            <a:rPr lang="en-CA" sz="1100" baseline="0"/>
            <a:t>Metrics are based on annual reporting by VCCI 2017 recipients, including data obtained on a commercially reasonable efforts basis from underlying venture capital funds (of fund-of-funds recipients) and from funds* portfolio companies. This data is unaudited and some data may not be suitable for year to year comparisons. In addition, some commitment values may vary year-over-year due to foreign exchange rate fluctuations</a:t>
          </a:r>
        </a:p>
        <a:p>
          <a:endParaRPr lang="en-CA" sz="1100" baseline="0"/>
        </a:p>
        <a:p>
          <a:r>
            <a:rPr lang="en-CA" sz="1400" b="1" baseline="0"/>
            <a:t>Background</a:t>
          </a:r>
        </a:p>
        <a:p>
          <a:endParaRPr lang="en-CA" sz="1400" b="1" baseline="0"/>
        </a:p>
        <a:p>
          <a:pPr>
            <a:lnSpc>
              <a:spcPct val="107000"/>
            </a:lnSpc>
            <a:spcAft>
              <a:spcPts val="800"/>
            </a:spcAft>
            <a:buNone/>
          </a:pPr>
          <a:r>
            <a:rPr lang="en-CA" sz="1100" kern="100">
              <a:effectLst/>
              <a:latin typeface="Aptos" panose="020B0004020202020204" pitchFamily="34" charset="0"/>
              <a:ea typeface="Aptos" panose="020B0004020202020204" pitchFamily="34" charset="0"/>
              <a:cs typeface="Times New Roman" panose="02020603050405020304" pitchFamily="18" charset="0"/>
            </a:rPr>
            <a:t>To build on the momentum of the Venture Capital Action Plan (VCAP), the Government of Canada announced in 2017 the Venture Capital Catalyst Initiative (VCCI 2017). As with VCAP, VCCI was implemented to support the continued development of Canada's venture capital industry and increase the availability of capital for innovative Canadian firms.</a:t>
          </a:r>
        </a:p>
        <a:p>
          <a:pPr>
            <a:lnSpc>
              <a:spcPct val="107000"/>
            </a:lnSpc>
            <a:spcAft>
              <a:spcPts val="800"/>
            </a:spcAft>
            <a:buNone/>
          </a:pPr>
          <a:r>
            <a:rPr lang="en-CA" sz="1100" kern="100">
              <a:effectLst/>
              <a:latin typeface="Aptos" panose="020B0004020202020204" pitchFamily="34" charset="0"/>
              <a:ea typeface="Aptos" panose="020B0004020202020204" pitchFamily="34" charset="0"/>
              <a:cs typeface="Times New Roman" panose="02020603050405020304" pitchFamily="18" charset="0"/>
            </a:rPr>
            <a:t>Through VCCI, the Government invested $371 million through three streams:</a:t>
          </a:r>
        </a:p>
        <a:p>
          <a:pPr marL="342900" lvl="0" indent="-342900">
            <a:lnSpc>
              <a:spcPct val="107000"/>
            </a:lnSpc>
            <a:spcAft>
              <a:spcPts val="800"/>
            </a:spcAft>
            <a:buSzPts val="1000"/>
            <a:buFont typeface="Symbol" panose="05050102010706020507" pitchFamily="18" charset="2"/>
            <a:buChar char=""/>
            <a:tabLst>
              <a:tab pos="457200" algn="l"/>
            </a:tabLst>
          </a:pPr>
          <a:r>
            <a:rPr lang="en-CA" sz="1100" b="1" kern="100">
              <a:effectLst/>
              <a:latin typeface="Aptos" panose="020B0004020202020204" pitchFamily="34" charset="0"/>
              <a:ea typeface="Aptos" panose="020B0004020202020204" pitchFamily="34" charset="0"/>
              <a:cs typeface="Times New Roman" panose="02020603050405020304" pitchFamily="18" charset="0"/>
            </a:rPr>
            <a:t>Stream 1 </a:t>
          </a:r>
          <a:r>
            <a:rPr lang="en-CA" sz="1100" kern="100">
              <a:effectLst/>
              <a:latin typeface="Aptos" panose="020B0004020202020204" pitchFamily="34" charset="0"/>
              <a:ea typeface="Aptos" panose="020B0004020202020204" pitchFamily="34" charset="0"/>
              <a:cs typeface="Times New Roman" panose="02020603050405020304" pitchFamily="18" charset="0"/>
            </a:rPr>
            <a:t>established a portfolio of four large, private sector-led funds-of-funds (HarbourVest Partners, Kensington Capital Partners, Northleaf Capital Partners, and Teralys Capital)</a:t>
          </a:r>
        </a:p>
        <a:p>
          <a:pPr marL="342900" lvl="0" indent="-342900">
            <a:lnSpc>
              <a:spcPct val="107000"/>
            </a:lnSpc>
            <a:spcAft>
              <a:spcPts val="800"/>
            </a:spcAft>
            <a:buSzPts val="1000"/>
            <a:buFont typeface="Symbol" panose="05050102010706020507" pitchFamily="18" charset="2"/>
            <a:buChar char=""/>
            <a:tabLst>
              <a:tab pos="457200" algn="l"/>
            </a:tabLst>
          </a:pPr>
          <a:r>
            <a:rPr lang="en-CA" sz="1100" b="1" kern="100">
              <a:effectLst/>
              <a:latin typeface="Aptos" panose="020B0004020202020204" pitchFamily="34" charset="0"/>
              <a:ea typeface="Aptos" panose="020B0004020202020204" pitchFamily="34" charset="0"/>
              <a:cs typeface="Times New Roman" panose="02020603050405020304" pitchFamily="18" charset="0"/>
            </a:rPr>
            <a:t>Stream 2 </a:t>
          </a:r>
          <a:r>
            <a:rPr lang="en-CA" sz="1100" kern="100">
              <a:effectLst/>
              <a:latin typeface="Aptos" panose="020B0004020202020204" pitchFamily="34" charset="0"/>
              <a:ea typeface="Aptos" panose="020B0004020202020204" pitchFamily="34" charset="0"/>
              <a:cs typeface="Times New Roman" panose="02020603050405020304" pitchFamily="18" charset="0"/>
            </a:rPr>
            <a:t>supported five fund managers with diverse fund management teams, new models, or were located in emerging regions (Brightspark, Build Ventures, Garage Capital, Highline Beta, and TandemLaunch)</a:t>
          </a:r>
        </a:p>
        <a:p>
          <a:pPr marL="342900" lvl="0" indent="-342900">
            <a:lnSpc>
              <a:spcPct val="107000"/>
            </a:lnSpc>
            <a:spcAft>
              <a:spcPts val="800"/>
            </a:spcAft>
            <a:buSzPts val="1000"/>
            <a:buFont typeface="Symbol" panose="05050102010706020507" pitchFamily="18" charset="2"/>
            <a:buChar char=""/>
            <a:tabLst>
              <a:tab pos="457200" algn="l"/>
            </a:tabLst>
          </a:pPr>
          <a:r>
            <a:rPr lang="en-CA" sz="1100" b="1" kern="100">
              <a:effectLst/>
              <a:latin typeface="Aptos" panose="020B0004020202020204" pitchFamily="34" charset="0"/>
              <a:ea typeface="Aptos" panose="020B0004020202020204" pitchFamily="34" charset="0"/>
              <a:cs typeface="Times New Roman" panose="02020603050405020304" pitchFamily="18" charset="0"/>
            </a:rPr>
            <a:t>Stream 3 </a:t>
          </a:r>
          <a:r>
            <a:rPr lang="en-CA" sz="1100" kern="100">
              <a:effectLst/>
              <a:latin typeface="Aptos" panose="020B0004020202020204" pitchFamily="34" charset="0"/>
              <a:ea typeface="Aptos" panose="020B0004020202020204" pitchFamily="34" charset="0"/>
              <a:cs typeface="Times New Roman" panose="02020603050405020304" pitchFamily="18" charset="0"/>
            </a:rPr>
            <a:t>invested into three venture capital funds with investment strategies focusing primarily in the clean technology sector (ArcTern Ventures, Cycle Capital, and Renewal funds)</a:t>
          </a:r>
        </a:p>
        <a:p>
          <a:pPr>
            <a:lnSpc>
              <a:spcPct val="107000"/>
            </a:lnSpc>
            <a:spcAft>
              <a:spcPts val="800"/>
            </a:spcAft>
            <a:buNone/>
          </a:pPr>
          <a:r>
            <a:rPr lang="en-CA" sz="1100" kern="100">
              <a:effectLst/>
              <a:latin typeface="Aptos" panose="020B0004020202020204" pitchFamily="34" charset="0"/>
              <a:ea typeface="Aptos" panose="020B0004020202020204" pitchFamily="34" charset="0"/>
              <a:cs typeface="Times New Roman" panose="02020603050405020304" pitchFamily="18" charset="0"/>
            </a:rPr>
            <a:t>The Government of Canada's investment under VCCI 2017 garnered significant investments from the venture capital industry. In particular, the four funds-of-funds managers attracted investments from a diverse set of investors that included pension funds, high-net-worth individuals, corporations, banks, and the government of Quebec. Leveraging the federal government investment, the four funds-of-funds raised $1.176 billion, including $840 million from private investors.</a:t>
          </a:r>
        </a:p>
        <a:p>
          <a:pPr>
            <a:lnSpc>
              <a:spcPct val="107000"/>
            </a:lnSpc>
            <a:spcAft>
              <a:spcPts val="800"/>
            </a:spcAft>
            <a:buNone/>
          </a:pPr>
          <a:r>
            <a:rPr lang="en-CA" sz="1100" kern="100">
              <a:effectLst/>
              <a:latin typeface="Aptos" panose="020B0004020202020204" pitchFamily="34" charset="0"/>
              <a:ea typeface="Aptos" panose="020B0004020202020204" pitchFamily="34" charset="0"/>
              <a:cs typeface="Times New Roman" panose="02020603050405020304" pitchFamily="18" charset="0"/>
            </a:rPr>
            <a:t>VCCI 2017 recipient fund managers have completed their fundraising activities, collectively raising more than $1.8 billion from public and private investors, increasing the availability of capital for promising start-ups. They continue to make investments in companies, and in VC funds, in the case of funds-of-funds.</a:t>
          </a:r>
        </a:p>
        <a:p>
          <a:pPr>
            <a:lnSpc>
              <a:spcPct val="107000"/>
            </a:lnSpc>
            <a:spcAft>
              <a:spcPts val="800"/>
            </a:spcAft>
            <a:buNone/>
          </a:pPr>
          <a:r>
            <a:rPr lang="en-CA" sz="1100" kern="100">
              <a:effectLst/>
              <a:latin typeface="Aptos" panose="020B0004020202020204" pitchFamily="34" charset="0"/>
              <a:ea typeface="Aptos" panose="020B0004020202020204" pitchFamily="34" charset="0"/>
              <a:cs typeface="Times New Roman" panose="02020603050405020304" pitchFamily="18" charset="0"/>
            </a:rPr>
            <a:t>As of December 31, 2024, 47 Canadian venture capital funds*</a:t>
          </a:r>
          <a:r>
            <a:rPr lang="en-CA" sz="1100" kern="100" baseline="0">
              <a:effectLst/>
              <a:latin typeface="Aptos" panose="020B0004020202020204" pitchFamily="34" charset="0"/>
              <a:ea typeface="Aptos" panose="020B0004020202020204" pitchFamily="34" charset="0"/>
              <a:cs typeface="Times New Roman" panose="02020603050405020304" pitchFamily="18" charset="0"/>
            </a:rPr>
            <a:t> </a:t>
          </a:r>
          <a:r>
            <a:rPr lang="en-CA" sz="1100" kern="100">
              <a:effectLst/>
              <a:latin typeface="Aptos" panose="020B0004020202020204" pitchFamily="34" charset="0"/>
              <a:ea typeface="Aptos" panose="020B0004020202020204" pitchFamily="34" charset="0"/>
              <a:cs typeface="Times New Roman" panose="02020603050405020304" pitchFamily="18" charset="0"/>
            </a:rPr>
            <a:t>have </a:t>
          </a:r>
          <a:r>
            <a:rPr lang="en-CA" sz="1100" kern="100">
              <a:solidFill>
                <a:sysClr val="windowText" lastClr="000000"/>
              </a:solidFill>
              <a:effectLst/>
              <a:latin typeface="Aptos" panose="020B0004020202020204" pitchFamily="34" charset="0"/>
              <a:ea typeface="Aptos" panose="020B0004020202020204" pitchFamily="34" charset="0"/>
              <a:cs typeface="Times New Roman" panose="02020603050405020304" pitchFamily="18" charset="0"/>
            </a:rPr>
            <a:t>received $914 million in investment </a:t>
          </a:r>
          <a:r>
            <a:rPr lang="en-CA" sz="1100" kern="100">
              <a:effectLst/>
              <a:latin typeface="Aptos" panose="020B0004020202020204" pitchFamily="34" charset="0"/>
              <a:ea typeface="Aptos" panose="020B0004020202020204" pitchFamily="34" charset="0"/>
              <a:cs typeface="Times New Roman" panose="02020603050405020304" pitchFamily="18" charset="0"/>
            </a:rPr>
            <a:t>commitments through VCCI 2017. VC funds that received support from VCCI invested a combined $2.9 billion from all investment sources in at least 446 Canadian companies. **</a:t>
          </a:r>
        </a:p>
        <a:p>
          <a:pPr>
            <a:lnSpc>
              <a:spcPct val="107000"/>
            </a:lnSpc>
            <a:spcAft>
              <a:spcPts val="800"/>
            </a:spcAft>
            <a:buNone/>
          </a:pPr>
          <a:endParaRPr lang="en-CA" sz="1100" kern="100">
            <a:effectLst/>
            <a:latin typeface="Aptos" panose="020B0004020202020204" pitchFamily="34" charset="0"/>
            <a:ea typeface="Aptos" panose="020B0004020202020204" pitchFamily="34" charset="0"/>
            <a:cs typeface="Times New Roman" panose="02020603050405020304" pitchFamily="18" charset="0"/>
          </a:endParaRPr>
        </a:p>
        <a:p>
          <a:pPr>
            <a:lnSpc>
              <a:spcPct val="107000"/>
            </a:lnSpc>
            <a:spcAft>
              <a:spcPts val="800"/>
            </a:spcAft>
            <a:buNone/>
          </a:pPr>
          <a:r>
            <a:rPr lang="en-CA" sz="1100" b="1" kern="100">
              <a:effectLst/>
              <a:latin typeface="Aptos" panose="020B0004020202020204" pitchFamily="34" charset="0"/>
              <a:ea typeface="Aptos" panose="020B0004020202020204" pitchFamily="34" charset="0"/>
              <a:cs typeface="Times New Roman" panose="02020603050405020304" pitchFamily="18" charset="0"/>
            </a:rPr>
            <a:t>Footnotes</a:t>
          </a:r>
        </a:p>
        <a:p>
          <a:pPr>
            <a:lnSpc>
              <a:spcPct val="107000"/>
            </a:lnSpc>
            <a:spcAft>
              <a:spcPts val="800"/>
            </a:spcAft>
            <a:buNone/>
          </a:pPr>
          <a:r>
            <a:rPr lang="en-CA" sz="1100" kern="100">
              <a:effectLst/>
              <a:latin typeface="Aptos" panose="020B0004020202020204" pitchFamily="34" charset="0"/>
              <a:ea typeface="Aptos" panose="020B0004020202020204" pitchFamily="34" charset="0"/>
              <a:cs typeface="Times New Roman" panose="02020603050405020304" pitchFamily="18" charset="0"/>
            </a:rPr>
            <a:t>* </a:t>
          </a:r>
          <a:r>
            <a:rPr lang="en-CA" sz="1100" b="0" i="0">
              <a:solidFill>
                <a:schemeClr val="dk1"/>
              </a:solidFill>
              <a:effectLst/>
              <a:latin typeface="+mn-lt"/>
              <a:ea typeface="+mn-ea"/>
              <a:cs typeface="+mn-cs"/>
            </a:rPr>
            <a:t>This includes Canadian VC funds supported by VCCI Stream 1 Funds-of-funds, as well as Stream 2 and 3 funds.</a:t>
          </a:r>
        </a:p>
        <a:p>
          <a:pPr>
            <a:lnSpc>
              <a:spcPct val="107000"/>
            </a:lnSpc>
            <a:spcAft>
              <a:spcPts val="800"/>
            </a:spcAft>
            <a:buNone/>
          </a:pPr>
          <a:r>
            <a:rPr lang="en-CA" sz="1100" b="0" i="0" kern="100">
              <a:solidFill>
                <a:schemeClr val="dk1"/>
              </a:solidFill>
              <a:effectLst/>
              <a:latin typeface="+mn-lt"/>
              <a:ea typeface="+mn-ea"/>
              <a:cs typeface="+mn-cs"/>
            </a:rPr>
            <a:t>**</a:t>
          </a:r>
          <a:r>
            <a:rPr lang="en-CA" sz="1100" b="0" i="0">
              <a:solidFill>
                <a:schemeClr val="dk1"/>
              </a:solidFill>
              <a:effectLst/>
              <a:latin typeface="+mn-lt"/>
              <a:ea typeface="+mn-ea"/>
              <a:cs typeface="+mn-cs"/>
            </a:rPr>
            <a:t>This figure may vary from year-to-year as it is based on annual reporting by VCCI 2017 recipients, including data obtained on a commercially reasonable efforts basis from underlying venture capital funds (of funds-of-funds recipients) and from funds' portfolio companies. This data is unaudited and may not be suitable for year to year comparisons.</a:t>
          </a:r>
          <a:endParaRPr lang="en-CA" sz="1100" kern="100">
            <a:effectLst/>
            <a:latin typeface="Aptos" panose="020B0004020202020204" pitchFamily="34" charset="0"/>
            <a:ea typeface="Aptos" panose="020B0004020202020204" pitchFamily="34" charset="0"/>
            <a:cs typeface="Times New Roman" panose="02020603050405020304" pitchFamily="18" charset="0"/>
          </a:endParaRPr>
        </a:p>
        <a:p>
          <a:pPr>
            <a:lnSpc>
              <a:spcPct val="107000"/>
            </a:lnSpc>
            <a:spcAft>
              <a:spcPts val="800"/>
            </a:spcAft>
            <a:buNone/>
          </a:pPr>
          <a:endParaRPr lang="en-CA" sz="1100" kern="100">
            <a:effectLst/>
            <a:latin typeface="Aptos" panose="020B0004020202020204" pitchFamily="34" charset="0"/>
            <a:ea typeface="Aptos" panose="020B0004020202020204" pitchFamily="34" charset="0"/>
            <a:cs typeface="Times New Roman" panose="02020603050405020304" pitchFamily="18" charset="0"/>
          </a:endParaRPr>
        </a:p>
        <a:p>
          <a:pPr>
            <a:lnSpc>
              <a:spcPct val="107000"/>
            </a:lnSpc>
            <a:spcAft>
              <a:spcPts val="800"/>
            </a:spcAft>
            <a:buNone/>
          </a:pPr>
          <a:endParaRPr lang="en-CA" sz="1100" kern="100">
            <a:effectLst/>
            <a:latin typeface="Aptos" panose="020B0004020202020204" pitchFamily="34" charset="0"/>
            <a:ea typeface="Aptos" panose="020B0004020202020204" pitchFamily="34" charset="0"/>
            <a:cs typeface="Times New Roman" panose="02020603050405020304" pitchFamily="18" charset="0"/>
          </a:endParaRPr>
        </a:p>
        <a:p>
          <a:endParaRPr lang="en-CA" sz="1400" b="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6AEBE-500B-4BBE-9DA5-6CE829E4E2A6}">
  <dimension ref="A5:D28"/>
  <sheetViews>
    <sheetView showGridLines="0" tabSelected="1" zoomScale="90" zoomScaleNormal="90" zoomScaleSheetLayoutView="100" workbookViewId="0">
      <selection activeCell="F3" sqref="F3"/>
    </sheetView>
  </sheetViews>
  <sheetFormatPr defaultRowHeight="15" x14ac:dyDescent="0.25"/>
  <cols>
    <col min="1" max="1" width="81.42578125" style="224" customWidth="1"/>
    <col min="2" max="4" width="8.7109375" style="224"/>
  </cols>
  <sheetData>
    <row r="5" spans="1:1" x14ac:dyDescent="0.25">
      <c r="A5" s="223"/>
    </row>
    <row r="9" spans="1:1" ht="27.75" x14ac:dyDescent="0.4">
      <c r="A9" s="225" t="s">
        <v>61</v>
      </c>
    </row>
    <row r="10" spans="1:1" ht="27.75" x14ac:dyDescent="0.4">
      <c r="A10" s="225" t="s">
        <v>62</v>
      </c>
    </row>
    <row r="11" spans="1:1" ht="27.75" x14ac:dyDescent="0.4">
      <c r="A11" s="226" t="s">
        <v>204</v>
      </c>
    </row>
    <row r="12" spans="1:1" ht="27.75" x14ac:dyDescent="0.4">
      <c r="A12" s="227"/>
    </row>
    <row r="14" spans="1:1" ht="23.25" x14ac:dyDescent="0.35">
      <c r="A14" s="228" t="s">
        <v>40</v>
      </c>
    </row>
    <row r="15" spans="1:1" x14ac:dyDescent="0.25">
      <c r="A15" s="223"/>
    </row>
    <row r="19" spans="1:1" ht="27.75" x14ac:dyDescent="0.4">
      <c r="A19" s="229" t="s">
        <v>233</v>
      </c>
    </row>
    <row r="20" spans="1:1" ht="15.75" x14ac:dyDescent="0.25">
      <c r="A20" s="4" t="s">
        <v>232</v>
      </c>
    </row>
    <row r="21" spans="1:1" ht="15.75" x14ac:dyDescent="0.25">
      <c r="A21" s="4"/>
    </row>
    <row r="23" spans="1:1" x14ac:dyDescent="0.25">
      <c r="A23" s="230" t="s">
        <v>39</v>
      </c>
    </row>
    <row r="24" spans="1:1" x14ac:dyDescent="0.25">
      <c r="A24" s="230" t="s">
        <v>37</v>
      </c>
    </row>
    <row r="25" spans="1:1" x14ac:dyDescent="0.25">
      <c r="A25" s="230" t="s">
        <v>36</v>
      </c>
    </row>
    <row r="26" spans="1:1" x14ac:dyDescent="0.25">
      <c r="A26" s="230"/>
    </row>
    <row r="27" spans="1:1" x14ac:dyDescent="0.25">
      <c r="A27" s="230" t="s">
        <v>38</v>
      </c>
    </row>
    <row r="28" spans="1:1" x14ac:dyDescent="0.25">
      <c r="A28" s="230" t="s">
        <v>42</v>
      </c>
    </row>
  </sheetData>
  <pageMargins left="0.70866141732283472" right="0" top="0" bottom="0" header="0.31496062992125984" footer="0"/>
  <pageSetup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5E331-E011-4CA0-9277-5C364BCBC654}">
  <sheetPr codeName="Sheet21"/>
  <dimension ref="A1:C1"/>
  <sheetViews>
    <sheetView workbookViewId="0">
      <selection activeCell="E55" sqref="E55"/>
    </sheetView>
  </sheetViews>
  <sheetFormatPr defaultRowHeight="15" x14ac:dyDescent="0.25"/>
  <cols>
    <col min="1" max="1" width="38.85546875" customWidth="1"/>
    <col min="2" max="3" width="32.140625" customWidth="1"/>
  </cols>
  <sheetData>
    <row r="1" spans="1:3" ht="21" x14ac:dyDescent="0.35">
      <c r="A1" s="33"/>
      <c r="B1" s="59" t="s">
        <v>205</v>
      </c>
      <c r="C1" s="3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1C8D9-4789-456C-B0AB-45D67B09ABBC}">
  <sheetPr codeName="Sheet22"/>
  <dimension ref="A1:M28"/>
  <sheetViews>
    <sheetView zoomScaleNormal="100" workbookViewId="0">
      <selection activeCell="D32" sqref="D32"/>
    </sheetView>
  </sheetViews>
  <sheetFormatPr defaultRowHeight="15" x14ac:dyDescent="0.25"/>
  <sheetData>
    <row r="1" spans="1:13" x14ac:dyDescent="0.25">
      <c r="A1" s="51"/>
      <c r="B1" s="50"/>
      <c r="C1" s="49"/>
      <c r="D1" s="48"/>
      <c r="E1" s="48"/>
      <c r="F1" s="48"/>
      <c r="G1" s="48"/>
      <c r="H1" s="48"/>
      <c r="I1" s="48"/>
      <c r="J1" s="48"/>
      <c r="K1" s="48"/>
      <c r="L1" s="48"/>
      <c r="M1" s="47"/>
    </row>
    <row r="2" spans="1:13" x14ac:dyDescent="0.25">
      <c r="A2" s="44"/>
      <c r="B2" s="43" t="s">
        <v>41</v>
      </c>
      <c r="C2" s="42"/>
      <c r="D2" s="43"/>
      <c r="E2" s="43"/>
      <c r="F2" s="41"/>
      <c r="G2" s="41"/>
      <c r="H2" s="41"/>
      <c r="I2" s="41"/>
      <c r="J2" s="41"/>
      <c r="K2" s="41"/>
      <c r="L2" s="41"/>
      <c r="M2" s="40"/>
    </row>
    <row r="3" spans="1:13" x14ac:dyDescent="0.25">
      <c r="A3" s="44"/>
      <c r="B3" s="43"/>
      <c r="C3" s="42"/>
      <c r="D3" s="43"/>
      <c r="E3" s="43"/>
      <c r="F3" s="41"/>
      <c r="G3" s="41"/>
      <c r="H3" s="41"/>
      <c r="I3" s="41"/>
      <c r="J3" s="41"/>
      <c r="K3" s="41"/>
      <c r="L3" s="41"/>
      <c r="M3" s="40"/>
    </row>
    <row r="4" spans="1:13" x14ac:dyDescent="0.25">
      <c r="A4" s="44"/>
      <c r="B4" s="42">
        <v>1</v>
      </c>
      <c r="C4" s="42" t="s">
        <v>216</v>
      </c>
      <c r="D4" s="42"/>
      <c r="E4" s="42"/>
      <c r="F4" s="46"/>
      <c r="G4" s="46"/>
      <c r="H4" s="41"/>
      <c r="I4" s="41"/>
      <c r="J4" s="41"/>
      <c r="K4" s="41"/>
      <c r="L4" s="41"/>
      <c r="M4" s="40"/>
    </row>
    <row r="5" spans="1:13" x14ac:dyDescent="0.25">
      <c r="A5" s="44"/>
      <c r="B5" s="117">
        <v>2</v>
      </c>
      <c r="C5" s="136" t="s">
        <v>97</v>
      </c>
      <c r="D5" s="42"/>
      <c r="E5" s="42"/>
      <c r="F5" s="46"/>
      <c r="G5" s="46"/>
      <c r="H5" s="41"/>
      <c r="I5" s="41"/>
      <c r="J5" s="41"/>
      <c r="K5" s="41"/>
      <c r="L5" s="41"/>
      <c r="M5" s="40"/>
    </row>
    <row r="6" spans="1:13" x14ac:dyDescent="0.25">
      <c r="A6" s="44"/>
      <c r="B6" s="42">
        <v>3</v>
      </c>
      <c r="C6" s="42" t="s">
        <v>43</v>
      </c>
      <c r="D6" s="42"/>
      <c r="E6" s="42"/>
      <c r="F6" s="46"/>
      <c r="G6" s="46"/>
      <c r="H6" s="41"/>
      <c r="I6" s="41"/>
      <c r="J6" s="41"/>
      <c r="K6" s="41"/>
      <c r="L6" s="41"/>
      <c r="M6" s="40"/>
    </row>
    <row r="7" spans="1:13" x14ac:dyDescent="0.25">
      <c r="A7" s="44"/>
      <c r="B7" s="6">
        <v>4</v>
      </c>
      <c r="C7" s="42" t="s">
        <v>217</v>
      </c>
      <c r="D7" s="42"/>
      <c r="E7" s="42"/>
      <c r="F7" s="46"/>
      <c r="G7" s="46"/>
      <c r="H7" s="41"/>
      <c r="I7" s="41"/>
      <c r="J7" s="41"/>
      <c r="K7" s="41"/>
      <c r="L7" s="41"/>
      <c r="M7" s="40"/>
    </row>
    <row r="8" spans="1:13" x14ac:dyDescent="0.25">
      <c r="A8" s="44"/>
      <c r="B8" s="42">
        <v>5</v>
      </c>
      <c r="C8" s="42" t="s">
        <v>218</v>
      </c>
      <c r="D8" s="43"/>
      <c r="E8" s="43"/>
      <c r="F8" s="41"/>
      <c r="G8" s="41"/>
      <c r="H8" s="41"/>
      <c r="I8" s="41"/>
      <c r="J8" s="41"/>
      <c r="K8" s="41"/>
      <c r="L8" s="41"/>
      <c r="M8" s="40"/>
    </row>
    <row r="9" spans="1:13" x14ac:dyDescent="0.25">
      <c r="A9" s="44"/>
      <c r="B9" s="6">
        <v>6</v>
      </c>
      <c r="C9" s="42" t="s">
        <v>219</v>
      </c>
      <c r="D9" s="43"/>
      <c r="E9" s="43"/>
      <c r="F9" s="41"/>
      <c r="G9" s="41"/>
      <c r="H9" s="41"/>
      <c r="I9" s="41"/>
      <c r="J9" s="41"/>
      <c r="K9" s="41"/>
      <c r="L9" s="41"/>
      <c r="M9" s="40"/>
    </row>
    <row r="10" spans="1:13" x14ac:dyDescent="0.25">
      <c r="A10" s="44"/>
      <c r="B10" s="42">
        <v>7</v>
      </c>
      <c r="C10" s="42" t="s">
        <v>220</v>
      </c>
      <c r="D10" s="43"/>
      <c r="E10" s="43"/>
      <c r="F10" s="41"/>
      <c r="G10" s="41"/>
      <c r="H10" s="41"/>
      <c r="I10" s="41"/>
      <c r="J10" s="41"/>
      <c r="K10" s="41"/>
      <c r="L10" s="41"/>
      <c r="M10" s="40"/>
    </row>
    <row r="11" spans="1:13" x14ac:dyDescent="0.25">
      <c r="A11" s="44"/>
      <c r="B11" s="6">
        <v>8</v>
      </c>
      <c r="C11" s="42" t="s">
        <v>44</v>
      </c>
      <c r="D11" s="43"/>
      <c r="E11" s="43"/>
      <c r="F11" s="41"/>
      <c r="G11" s="41"/>
      <c r="H11" s="41"/>
      <c r="I11" s="41"/>
      <c r="J11" s="41"/>
      <c r="K11" s="41"/>
      <c r="L11" s="41"/>
      <c r="M11" s="40"/>
    </row>
    <row r="12" spans="1:13" x14ac:dyDescent="0.25">
      <c r="A12" s="44"/>
      <c r="B12" s="42">
        <v>9</v>
      </c>
      <c r="C12" s="42" t="s">
        <v>98</v>
      </c>
      <c r="D12" s="43"/>
      <c r="E12" s="43"/>
      <c r="F12" s="41"/>
      <c r="G12" s="41"/>
      <c r="H12" s="41"/>
      <c r="I12" s="41"/>
      <c r="J12" s="41"/>
      <c r="K12" s="41"/>
      <c r="L12" s="41"/>
      <c r="M12" s="40"/>
    </row>
    <row r="13" spans="1:13" x14ac:dyDescent="0.25">
      <c r="A13" s="44"/>
      <c r="B13" s="6">
        <v>10</v>
      </c>
      <c r="C13" s="42" t="s">
        <v>45</v>
      </c>
      <c r="D13" s="43"/>
      <c r="E13" s="43"/>
      <c r="F13" s="41"/>
      <c r="G13" s="41"/>
      <c r="H13" s="41"/>
      <c r="I13" s="41"/>
      <c r="J13" s="41"/>
      <c r="K13" s="41"/>
      <c r="L13" s="41"/>
      <c r="M13" s="40"/>
    </row>
    <row r="14" spans="1:13" x14ac:dyDescent="0.25">
      <c r="A14" s="44"/>
      <c r="B14" s="42">
        <v>11</v>
      </c>
      <c r="C14" s="42" t="s">
        <v>221</v>
      </c>
      <c r="D14" s="43"/>
      <c r="E14" s="43"/>
      <c r="F14" s="41"/>
      <c r="G14" s="41"/>
      <c r="H14" s="41"/>
      <c r="I14" s="41"/>
      <c r="J14" s="41"/>
      <c r="K14" s="41"/>
      <c r="L14" s="41"/>
      <c r="M14" s="40"/>
    </row>
    <row r="15" spans="1:13" x14ac:dyDescent="0.25">
      <c r="A15" s="44"/>
      <c r="B15" s="6">
        <v>12</v>
      </c>
      <c r="C15" s="42" t="s">
        <v>222</v>
      </c>
      <c r="D15" s="43"/>
      <c r="E15" s="43"/>
      <c r="F15" s="41"/>
      <c r="G15" s="41"/>
      <c r="H15" s="41"/>
      <c r="I15" s="41"/>
      <c r="J15" s="41"/>
      <c r="K15" s="41"/>
      <c r="L15" s="41"/>
      <c r="M15" s="40"/>
    </row>
    <row r="16" spans="1:13" x14ac:dyDescent="0.25">
      <c r="A16" s="44"/>
      <c r="B16" s="42">
        <v>13</v>
      </c>
      <c r="C16" s="42" t="s">
        <v>223</v>
      </c>
      <c r="D16" s="43"/>
      <c r="E16" s="43"/>
      <c r="F16" s="41"/>
      <c r="G16" s="41"/>
      <c r="H16" s="41"/>
      <c r="I16" s="41"/>
      <c r="J16" s="41"/>
      <c r="K16" s="41"/>
      <c r="L16" s="41"/>
      <c r="M16" s="40"/>
    </row>
    <row r="17" spans="1:13" x14ac:dyDescent="0.25">
      <c r="A17" s="44"/>
      <c r="B17" s="6">
        <v>14</v>
      </c>
      <c r="C17" s="43" t="s">
        <v>47</v>
      </c>
      <c r="D17" s="43"/>
      <c r="E17" s="43"/>
      <c r="F17" s="41"/>
      <c r="G17" s="41"/>
      <c r="H17" s="41"/>
      <c r="I17" s="41"/>
      <c r="J17" s="41"/>
      <c r="K17" s="41"/>
      <c r="L17" s="41"/>
      <c r="M17" s="40"/>
    </row>
    <row r="18" spans="1:13" x14ac:dyDescent="0.25">
      <c r="A18" s="45"/>
      <c r="B18" s="42">
        <v>15</v>
      </c>
      <c r="C18" s="43" t="s">
        <v>48</v>
      </c>
      <c r="D18" s="43"/>
      <c r="E18" s="43"/>
      <c r="F18" s="41"/>
      <c r="G18" s="41"/>
      <c r="H18" s="41"/>
      <c r="I18" s="41"/>
      <c r="J18" s="41"/>
      <c r="K18" s="41"/>
      <c r="L18" s="41"/>
      <c r="M18" s="40"/>
    </row>
    <row r="19" spans="1:13" x14ac:dyDescent="0.25">
      <c r="A19" s="44"/>
      <c r="B19" s="6">
        <v>16</v>
      </c>
      <c r="C19" s="43" t="s">
        <v>49</v>
      </c>
      <c r="D19" s="43"/>
      <c r="E19" s="43"/>
      <c r="F19" s="41"/>
      <c r="G19" s="41"/>
      <c r="H19" s="41"/>
      <c r="I19" s="41"/>
      <c r="J19" s="41"/>
      <c r="K19" s="41"/>
      <c r="L19" s="41"/>
      <c r="M19" s="40"/>
    </row>
    <row r="20" spans="1:13" x14ac:dyDescent="0.25">
      <c r="A20" s="44"/>
      <c r="B20" s="42">
        <v>17</v>
      </c>
      <c r="C20" s="43" t="s">
        <v>224</v>
      </c>
      <c r="D20" s="43"/>
      <c r="E20" s="43"/>
      <c r="F20" s="41"/>
      <c r="G20" s="41"/>
      <c r="H20" s="41"/>
      <c r="I20" s="41"/>
      <c r="J20" s="41"/>
      <c r="K20" s="41"/>
      <c r="L20" s="41"/>
      <c r="M20" s="40"/>
    </row>
    <row r="21" spans="1:13" x14ac:dyDescent="0.25">
      <c r="A21" s="44"/>
      <c r="B21" s="6">
        <v>18</v>
      </c>
      <c r="C21" s="43" t="s">
        <v>99</v>
      </c>
      <c r="D21" s="43"/>
      <c r="E21" s="43"/>
      <c r="F21" s="41"/>
      <c r="G21" s="41"/>
      <c r="H21" s="41"/>
      <c r="I21" s="41"/>
      <c r="J21" s="41"/>
      <c r="K21" s="41"/>
      <c r="L21" s="41"/>
      <c r="M21" s="40"/>
    </row>
    <row r="22" spans="1:13" x14ac:dyDescent="0.25">
      <c r="A22" s="44"/>
      <c r="B22" s="42">
        <v>19</v>
      </c>
      <c r="C22" s="43" t="s">
        <v>225</v>
      </c>
      <c r="D22" s="43"/>
      <c r="E22" s="43"/>
      <c r="F22" s="41"/>
      <c r="G22" s="41"/>
      <c r="H22" s="41"/>
      <c r="I22" s="41"/>
      <c r="J22" s="41"/>
      <c r="K22" s="41"/>
      <c r="L22" s="41"/>
      <c r="M22" s="40"/>
    </row>
    <row r="23" spans="1:13" x14ac:dyDescent="0.25">
      <c r="A23" s="44"/>
      <c r="B23" s="6">
        <v>20</v>
      </c>
      <c r="C23" s="43" t="s">
        <v>226</v>
      </c>
      <c r="D23" s="43"/>
      <c r="E23" s="43"/>
      <c r="F23" s="41"/>
      <c r="G23" s="41"/>
      <c r="H23" s="41"/>
      <c r="I23" s="41"/>
      <c r="J23" s="41"/>
      <c r="K23" s="41"/>
      <c r="L23" s="41"/>
      <c r="M23" s="40"/>
    </row>
    <row r="24" spans="1:13" x14ac:dyDescent="0.25">
      <c r="A24" s="45"/>
      <c r="B24" s="42">
        <v>21</v>
      </c>
      <c r="C24" s="43" t="s">
        <v>46</v>
      </c>
      <c r="D24" s="43"/>
      <c r="E24" s="43"/>
      <c r="F24" s="41"/>
      <c r="G24" s="41"/>
      <c r="H24" s="41"/>
      <c r="I24" s="41"/>
      <c r="J24" s="41"/>
      <c r="K24" s="41"/>
      <c r="L24" s="41"/>
      <c r="M24" s="40"/>
    </row>
    <row r="25" spans="1:13" x14ac:dyDescent="0.25">
      <c r="A25" s="44"/>
      <c r="B25" s="6">
        <v>22</v>
      </c>
      <c r="C25" s="43" t="s">
        <v>50</v>
      </c>
      <c r="D25" s="43"/>
      <c r="E25" s="43"/>
      <c r="F25" s="41"/>
      <c r="G25" s="41"/>
      <c r="H25" s="41"/>
      <c r="I25" s="41"/>
      <c r="J25" s="41"/>
      <c r="K25" s="41"/>
      <c r="L25" s="41"/>
      <c r="M25" s="40"/>
    </row>
    <row r="26" spans="1:13" x14ac:dyDescent="0.25">
      <c r="A26" s="44"/>
      <c r="B26" s="42">
        <v>23</v>
      </c>
      <c r="C26" s="43" t="s">
        <v>51</v>
      </c>
      <c r="D26" s="43"/>
      <c r="E26" s="43"/>
      <c r="F26" s="41"/>
      <c r="G26" s="41"/>
      <c r="H26" s="41"/>
      <c r="I26" s="41"/>
      <c r="J26" s="41"/>
      <c r="K26" s="41"/>
      <c r="L26" s="41"/>
      <c r="M26" s="40"/>
    </row>
    <row r="27" spans="1:13" x14ac:dyDescent="0.25">
      <c r="A27" s="44"/>
      <c r="B27" s="6">
        <v>24</v>
      </c>
      <c r="C27" s="42" t="s">
        <v>227</v>
      </c>
      <c r="D27" s="43"/>
      <c r="E27" s="43"/>
      <c r="F27" s="41"/>
      <c r="G27" s="41"/>
      <c r="H27" s="41"/>
      <c r="I27" s="41"/>
      <c r="J27" s="41"/>
      <c r="K27" s="41"/>
      <c r="L27" s="41"/>
      <c r="M27" s="40"/>
    </row>
    <row r="28" spans="1:13" ht="15.75" thickBot="1" x14ac:dyDescent="0.3">
      <c r="A28" s="39"/>
      <c r="B28" s="38"/>
      <c r="C28" s="37"/>
      <c r="D28" s="36"/>
      <c r="E28" s="35"/>
      <c r="F28" s="35"/>
      <c r="G28" s="35"/>
      <c r="H28" s="35"/>
      <c r="I28" s="35"/>
      <c r="J28" s="35"/>
      <c r="K28" s="35"/>
      <c r="L28" s="35"/>
      <c r="M28" s="34"/>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40307-DD1A-4A74-906E-78AFA3AD6E5D}">
  <sheetPr codeName="Sheet2"/>
  <dimension ref="A1:D16"/>
  <sheetViews>
    <sheetView workbookViewId="0">
      <selection activeCell="B14" sqref="B14"/>
    </sheetView>
  </sheetViews>
  <sheetFormatPr defaultRowHeight="15" x14ac:dyDescent="0.25"/>
  <cols>
    <col min="1" max="1" width="49.140625" customWidth="1"/>
    <col min="2" max="2" width="31.42578125" customWidth="1"/>
    <col min="3" max="3" width="34.28515625" customWidth="1"/>
    <col min="4" max="4" width="30.28515625" customWidth="1"/>
  </cols>
  <sheetData>
    <row r="1" spans="1:4" ht="20.100000000000001" customHeight="1" x14ac:dyDescent="0.3">
      <c r="A1" s="1" t="s">
        <v>228</v>
      </c>
      <c r="B1" s="1"/>
      <c r="C1" s="2"/>
      <c r="D1" s="3"/>
    </row>
    <row r="2" spans="1:4" ht="51.95" customHeight="1" x14ac:dyDescent="0.25">
      <c r="A2" s="239" t="s">
        <v>80</v>
      </c>
      <c r="B2" s="239"/>
      <c r="C2" s="62"/>
    </row>
    <row r="3" spans="1:4" ht="16.5" customHeight="1" x14ac:dyDescent="0.25">
      <c r="A3" s="134"/>
      <c r="B3" s="134"/>
      <c r="C3" s="62"/>
    </row>
    <row r="4" spans="1:4" ht="20.100000000000001" customHeight="1" x14ac:dyDescent="0.25">
      <c r="A4" s="58" t="s">
        <v>100</v>
      </c>
      <c r="B4" s="151" t="s">
        <v>101</v>
      </c>
    </row>
    <row r="5" spans="1:4" ht="20.100000000000001" customHeight="1" x14ac:dyDescent="0.25">
      <c r="A5" s="120" t="s">
        <v>6</v>
      </c>
      <c r="B5" s="152">
        <v>326250000</v>
      </c>
    </row>
    <row r="6" spans="1:4" ht="20.100000000000001" customHeight="1" x14ac:dyDescent="0.3">
      <c r="A6" s="120" t="s">
        <v>5</v>
      </c>
      <c r="B6" s="152">
        <v>150000000</v>
      </c>
      <c r="C6" s="32"/>
      <c r="D6" s="32"/>
    </row>
    <row r="7" spans="1:4" ht="20.100000000000001" customHeight="1" x14ac:dyDescent="0.3">
      <c r="A7" s="120" t="s">
        <v>3</v>
      </c>
      <c r="B7" s="152">
        <v>300000000</v>
      </c>
      <c r="C7" s="32"/>
      <c r="D7" s="32"/>
    </row>
    <row r="8" spans="1:4" ht="20.100000000000001" customHeight="1" x14ac:dyDescent="0.3">
      <c r="A8" s="120" t="s">
        <v>4</v>
      </c>
      <c r="B8" s="152">
        <v>400000000</v>
      </c>
      <c r="C8" s="32"/>
      <c r="D8" s="32"/>
    </row>
    <row r="9" spans="1:4" ht="20.100000000000001" customHeight="1" x14ac:dyDescent="0.3">
      <c r="A9" s="61" t="s">
        <v>63</v>
      </c>
      <c r="B9" s="153">
        <f>SUM(B5:B8)</f>
        <v>1176250000</v>
      </c>
      <c r="C9" s="3"/>
      <c r="D9" s="3"/>
    </row>
    <row r="10" spans="1:4" ht="20.100000000000001" customHeight="1" x14ac:dyDescent="0.3">
      <c r="C10" s="3"/>
      <c r="D10" s="3"/>
    </row>
    <row r="11" spans="1:4" ht="20.100000000000001" customHeight="1" x14ac:dyDescent="0.3">
      <c r="C11" s="3"/>
      <c r="D11" s="3"/>
    </row>
    <row r="12" spans="1:4" ht="20.100000000000001" customHeight="1" x14ac:dyDescent="0.25">
      <c r="A12" s="53"/>
    </row>
    <row r="13" spans="1:4" ht="20.100000000000001" customHeight="1" x14ac:dyDescent="0.25"/>
    <row r="14" spans="1:4" ht="20.100000000000001" customHeight="1" x14ac:dyDescent="0.25">
      <c r="C14" t="s">
        <v>34</v>
      </c>
    </row>
    <row r="15" spans="1:4" ht="20.100000000000001" customHeight="1" x14ac:dyDescent="0.25"/>
    <row r="16" spans="1:4" ht="20.100000000000001" customHeight="1" x14ac:dyDescent="0.25"/>
  </sheetData>
  <mergeCells count="1">
    <mergeCell ref="A2:B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A13C2-7045-43EC-BA23-FD37BEF2D807}">
  <dimension ref="A1:G15"/>
  <sheetViews>
    <sheetView workbookViewId="0">
      <selection activeCell="F5" sqref="F5"/>
    </sheetView>
  </sheetViews>
  <sheetFormatPr defaultColWidth="8.7109375" defaultRowHeight="15" x14ac:dyDescent="0.25"/>
  <cols>
    <col min="1" max="1" width="49.28515625" style="69" customWidth="1"/>
    <col min="2" max="2" width="24.5703125" style="69" bestFit="1" customWidth="1"/>
    <col min="3" max="3" width="30.85546875" style="69" bestFit="1" customWidth="1"/>
    <col min="4" max="4" width="22.7109375" style="69" customWidth="1"/>
    <col min="5" max="6" width="8.7109375" style="69"/>
    <col min="7" max="7" width="12.7109375" style="69" bestFit="1" customWidth="1"/>
    <col min="8" max="16384" width="8.7109375" style="69"/>
  </cols>
  <sheetData>
    <row r="1" spans="1:7" ht="20.100000000000001" customHeight="1" x14ac:dyDescent="0.25">
      <c r="A1" s="67" t="s">
        <v>96</v>
      </c>
      <c r="B1" s="67"/>
      <c r="C1" s="67"/>
      <c r="D1" s="68"/>
    </row>
    <row r="2" spans="1:7" ht="57.6" customHeight="1" x14ac:dyDescent="0.25">
      <c r="A2" s="240" t="s">
        <v>81</v>
      </c>
      <c r="B2" s="240"/>
      <c r="C2" s="240"/>
      <c r="D2" s="68"/>
    </row>
    <row r="3" spans="1:7" ht="14.1" customHeight="1" x14ac:dyDescent="0.25">
      <c r="A3" s="137"/>
      <c r="B3" s="137"/>
      <c r="C3" s="137"/>
      <c r="D3" s="68"/>
    </row>
    <row r="4" spans="1:7" ht="20.100000000000001" customHeight="1" x14ac:dyDescent="0.25">
      <c r="A4" s="121" t="s">
        <v>102</v>
      </c>
      <c r="B4" s="154" t="s">
        <v>103</v>
      </c>
      <c r="C4" s="155" t="s">
        <v>111</v>
      </c>
      <c r="D4" s="52"/>
    </row>
    <row r="5" spans="1:7" ht="20.100000000000001" customHeight="1" x14ac:dyDescent="0.25">
      <c r="A5" s="122" t="s">
        <v>52</v>
      </c>
      <c r="B5" s="156">
        <v>278928571</v>
      </c>
      <c r="C5" s="157">
        <v>0.23713374792773645</v>
      </c>
      <c r="D5" s="158"/>
      <c r="F5" s="70"/>
      <c r="G5" s="71"/>
    </row>
    <row r="6" spans="1:7" ht="20.100000000000001" customHeight="1" x14ac:dyDescent="0.25">
      <c r="A6" s="72" t="s">
        <v>53</v>
      </c>
      <c r="B6" s="156">
        <v>57142857</v>
      </c>
      <c r="C6" s="157">
        <v>4.8580537300743888E-2</v>
      </c>
      <c r="D6" s="158"/>
      <c r="F6" s="70"/>
    </row>
    <row r="7" spans="1:7" ht="20.100000000000001" customHeight="1" x14ac:dyDescent="0.25">
      <c r="A7" s="72" t="s">
        <v>54</v>
      </c>
      <c r="B7" s="156">
        <v>233500000</v>
      </c>
      <c r="C7" s="157">
        <v>0.19851222104144528</v>
      </c>
      <c r="D7" s="158"/>
      <c r="F7" s="70"/>
    </row>
    <row r="8" spans="1:7" ht="20.100000000000001" customHeight="1" x14ac:dyDescent="0.25">
      <c r="A8" s="72" t="s">
        <v>136</v>
      </c>
      <c r="B8" s="156">
        <v>105000000</v>
      </c>
      <c r="C8" s="157">
        <v>8.9266737513283748E-2</v>
      </c>
      <c r="D8" s="158"/>
      <c r="F8" s="70"/>
    </row>
    <row r="9" spans="1:7" ht="20.100000000000001" customHeight="1" x14ac:dyDescent="0.25">
      <c r="A9" s="72" t="s">
        <v>55</v>
      </c>
      <c r="B9" s="156">
        <v>26500000</v>
      </c>
      <c r="C9" s="157">
        <v>2.2529224229543038E-2</v>
      </c>
      <c r="D9" s="158"/>
      <c r="F9" s="70"/>
    </row>
    <row r="10" spans="1:7" ht="20.100000000000001" customHeight="1" x14ac:dyDescent="0.25">
      <c r="A10" s="72" t="s">
        <v>56</v>
      </c>
      <c r="B10" s="156">
        <v>172475857</v>
      </c>
      <c r="C10" s="157">
        <v>0.14663197194473965</v>
      </c>
      <c r="D10" s="159"/>
      <c r="G10" s="69" t="s">
        <v>34</v>
      </c>
    </row>
    <row r="11" spans="1:7" ht="20.100000000000001" customHeight="1" x14ac:dyDescent="0.25">
      <c r="A11" s="72" t="s">
        <v>57</v>
      </c>
      <c r="B11" s="156">
        <v>13000000</v>
      </c>
      <c r="C11" s="157">
        <v>1.1052072263549416E-2</v>
      </c>
      <c r="D11" s="68"/>
    </row>
    <row r="12" spans="1:7" ht="20.100000000000001" customHeight="1" x14ac:dyDescent="0.25">
      <c r="A12" s="72" t="s">
        <v>58</v>
      </c>
      <c r="B12" s="156">
        <v>282725929</v>
      </c>
      <c r="C12" s="157">
        <v>0.24036210754516471</v>
      </c>
      <c r="D12" s="68"/>
    </row>
    <row r="13" spans="1:7" ht="15.75" x14ac:dyDescent="0.25">
      <c r="A13" s="119" t="s">
        <v>59</v>
      </c>
      <c r="B13" s="156">
        <v>6976786</v>
      </c>
      <c r="C13" s="157">
        <v>5.9313802337938367E-3</v>
      </c>
    </row>
    <row r="14" spans="1:7" ht="15.75" x14ac:dyDescent="0.25">
      <c r="A14" s="60" t="s">
        <v>0</v>
      </c>
      <c r="B14" s="160">
        <f>SUM(B5:B13)</f>
        <v>1176250000</v>
      </c>
      <c r="C14" s="161">
        <f>SUM(C5:C13)</f>
        <v>1.0000000000000002</v>
      </c>
    </row>
    <row r="15" spans="1:7" x14ac:dyDescent="0.25">
      <c r="A15" s="69" t="s">
        <v>34</v>
      </c>
    </row>
  </sheetData>
  <mergeCells count="1">
    <mergeCell ref="A2:C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18440-AFF9-404F-85A6-E78FF8ADEE81}">
  <sheetPr codeName="Sheet4"/>
  <dimension ref="A1:G14"/>
  <sheetViews>
    <sheetView workbookViewId="0">
      <selection activeCell="A17" sqref="A17"/>
    </sheetView>
  </sheetViews>
  <sheetFormatPr defaultColWidth="8.7109375" defaultRowHeight="15" x14ac:dyDescent="0.25"/>
  <cols>
    <col min="1" max="1" width="29.28515625" style="69" customWidth="1"/>
    <col min="2" max="2" width="24.85546875" style="69" customWidth="1"/>
    <col min="3" max="3" width="27.140625" style="69" customWidth="1"/>
    <col min="4" max="4" width="34" style="69" customWidth="1"/>
    <col min="5" max="6" width="8.7109375" style="69"/>
    <col min="7" max="7" width="12.7109375" style="69" bestFit="1" customWidth="1"/>
    <col min="8" max="16384" width="8.7109375" style="69"/>
  </cols>
  <sheetData>
    <row r="1" spans="1:7" ht="20.100000000000001" customHeight="1" x14ac:dyDescent="0.25">
      <c r="A1" s="67" t="s">
        <v>60</v>
      </c>
      <c r="B1" s="67"/>
      <c r="C1" s="67"/>
      <c r="D1" s="68"/>
    </row>
    <row r="2" spans="1:7" ht="45" customHeight="1" x14ac:dyDescent="0.25">
      <c r="A2" s="240" t="s">
        <v>191</v>
      </c>
      <c r="B2" s="240"/>
      <c r="C2" s="240"/>
      <c r="D2" s="240"/>
    </row>
    <row r="3" spans="1:7" ht="17.100000000000001" customHeight="1" x14ac:dyDescent="0.25">
      <c r="A3" s="137"/>
      <c r="B3" s="137"/>
      <c r="C3" s="137"/>
      <c r="D3" s="137"/>
    </row>
    <row r="4" spans="1:7" ht="20.100000000000001" customHeight="1" x14ac:dyDescent="0.25">
      <c r="A4" s="121" t="s">
        <v>104</v>
      </c>
      <c r="B4" s="154" t="s">
        <v>105</v>
      </c>
      <c r="C4" s="154" t="s">
        <v>103</v>
      </c>
      <c r="D4" s="155" t="s">
        <v>111</v>
      </c>
    </row>
    <row r="5" spans="1:7" ht="20.100000000000001" customHeight="1" x14ac:dyDescent="0.25">
      <c r="A5" s="118" t="s">
        <v>7</v>
      </c>
      <c r="B5" s="68">
        <v>30</v>
      </c>
      <c r="C5" s="162">
        <v>752759857</v>
      </c>
      <c r="D5" s="163">
        <v>0.63996587205100952</v>
      </c>
      <c r="F5" s="70"/>
      <c r="G5" s="71"/>
    </row>
    <row r="6" spans="1:7" ht="20.100000000000001" customHeight="1" x14ac:dyDescent="0.25">
      <c r="A6" s="72" t="s">
        <v>8</v>
      </c>
      <c r="B6" s="68">
        <v>2</v>
      </c>
      <c r="C6" s="162">
        <v>336071428</v>
      </c>
      <c r="D6" s="163">
        <v>0.28571428522848036</v>
      </c>
      <c r="F6" s="70"/>
    </row>
    <row r="7" spans="1:7" ht="20.100000000000001" customHeight="1" x14ac:dyDescent="0.25">
      <c r="A7" s="72" t="s">
        <v>9</v>
      </c>
      <c r="B7" s="68">
        <v>3</v>
      </c>
      <c r="C7" s="162">
        <v>42500000</v>
      </c>
      <c r="D7" s="163">
        <v>3.6131774707757705E-2</v>
      </c>
      <c r="F7" s="70"/>
    </row>
    <row r="8" spans="1:7" ht="20.100000000000001" customHeight="1" x14ac:dyDescent="0.25">
      <c r="A8" s="72" t="s">
        <v>15</v>
      </c>
      <c r="B8" s="68">
        <v>6</v>
      </c>
      <c r="C8" s="162">
        <v>13183000</v>
      </c>
      <c r="D8" s="163">
        <v>1.1207651434643995E-2</v>
      </c>
      <c r="F8" s="70"/>
    </row>
    <row r="9" spans="1:7" ht="20.100000000000001" customHeight="1" x14ac:dyDescent="0.25">
      <c r="A9" s="72" t="s">
        <v>10</v>
      </c>
      <c r="B9" s="68">
        <v>2</v>
      </c>
      <c r="C9" s="162">
        <v>31735715</v>
      </c>
      <c r="D9" s="163">
        <v>2.6980416578108395E-2</v>
      </c>
      <c r="F9" s="70"/>
    </row>
    <row r="10" spans="1:7" ht="20.100000000000001" customHeight="1" x14ac:dyDescent="0.25">
      <c r="A10" s="60" t="s">
        <v>0</v>
      </c>
      <c r="B10" s="164">
        <v>43</v>
      </c>
      <c r="C10" s="165">
        <v>1176250000</v>
      </c>
      <c r="D10" s="166">
        <v>1</v>
      </c>
    </row>
    <row r="11" spans="1:7" ht="20.100000000000001" customHeight="1" x14ac:dyDescent="0.25">
      <c r="A11" s="67"/>
      <c r="B11" s="67"/>
      <c r="C11" s="67"/>
      <c r="D11" s="68"/>
    </row>
    <row r="12" spans="1:7" ht="20.100000000000001" customHeight="1" x14ac:dyDescent="0.25">
      <c r="A12" s="73"/>
      <c r="B12" s="68"/>
      <c r="C12" s="68"/>
      <c r="D12" s="68"/>
    </row>
    <row r="13" spans="1:7" x14ac:dyDescent="0.25">
      <c r="A13" s="74"/>
    </row>
    <row r="14" spans="1:7" x14ac:dyDescent="0.25">
      <c r="B14" s="69" t="s">
        <v>34</v>
      </c>
    </row>
  </sheetData>
  <mergeCells count="1">
    <mergeCell ref="A2: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C78F7-8DD9-4414-A7FA-A2C67499F3FB}">
  <sheetPr codeName="Sheet5"/>
  <dimension ref="A1:P126"/>
  <sheetViews>
    <sheetView zoomScaleNormal="100" workbookViewId="0">
      <selection activeCell="C20" sqref="C20"/>
    </sheetView>
  </sheetViews>
  <sheetFormatPr defaultColWidth="8.7109375" defaultRowHeight="15" x14ac:dyDescent="0.25"/>
  <cols>
    <col min="1" max="1" width="48.85546875" style="69" customWidth="1"/>
    <col min="2" max="2" width="27.42578125" style="69" customWidth="1"/>
    <col min="3" max="3" width="33" style="69" customWidth="1"/>
    <col min="4" max="5" width="8.7109375" style="69"/>
    <col min="6" max="6" width="14.28515625" style="69" customWidth="1"/>
    <col min="7" max="7" width="14.42578125" style="69" customWidth="1"/>
    <col min="8" max="8" width="8.7109375" style="69"/>
    <col min="9" max="9" width="10" style="69" customWidth="1"/>
    <col min="10" max="10" width="14.5703125" style="69" customWidth="1"/>
    <col min="11" max="11" width="16.42578125" style="69" customWidth="1"/>
    <col min="12" max="12" width="17.28515625" style="69" customWidth="1"/>
    <col min="13" max="16384" width="8.7109375" style="69"/>
  </cols>
  <sheetData>
    <row r="1" spans="1:7" ht="22.5" customHeight="1" x14ac:dyDescent="0.25">
      <c r="A1" s="67" t="s">
        <v>193</v>
      </c>
      <c r="B1" s="67"/>
      <c r="C1" s="67"/>
    </row>
    <row r="2" spans="1:7" ht="48.95" customHeight="1" x14ac:dyDescent="0.25">
      <c r="A2" s="240" t="s">
        <v>192</v>
      </c>
      <c r="B2" s="240"/>
      <c r="C2" s="240"/>
    </row>
    <row r="3" spans="1:7" ht="15" customHeight="1" x14ac:dyDescent="0.25">
      <c r="A3" s="137"/>
      <c r="B3" s="137"/>
      <c r="C3" s="137"/>
    </row>
    <row r="4" spans="1:7" ht="20.100000000000001" customHeight="1" x14ac:dyDescent="0.25">
      <c r="A4" s="121" t="s">
        <v>82</v>
      </c>
      <c r="B4" s="154" t="s">
        <v>106</v>
      </c>
      <c r="C4" s="155" t="s">
        <v>111</v>
      </c>
    </row>
    <row r="5" spans="1:7" ht="20.100000000000001" customHeight="1" x14ac:dyDescent="0.25">
      <c r="A5" s="72" t="s">
        <v>11</v>
      </c>
      <c r="B5" s="75">
        <v>179.9</v>
      </c>
      <c r="C5" s="163">
        <v>0.86531986531986538</v>
      </c>
    </row>
    <row r="6" spans="1:7" ht="20.100000000000001" customHeight="1" x14ac:dyDescent="0.25">
      <c r="A6" s="72" t="s">
        <v>12</v>
      </c>
      <c r="B6" s="75">
        <v>28</v>
      </c>
      <c r="C6" s="163">
        <v>0.13468013468013462</v>
      </c>
    </row>
    <row r="7" spans="1:7" ht="20.100000000000001" customHeight="1" x14ac:dyDescent="0.25">
      <c r="A7" s="72"/>
      <c r="B7" s="75"/>
      <c r="C7" s="163"/>
    </row>
    <row r="8" spans="1:7" ht="20.100000000000001" customHeight="1" x14ac:dyDescent="0.25">
      <c r="A8" s="72" t="s">
        <v>13</v>
      </c>
      <c r="B8" s="75">
        <v>821.6</v>
      </c>
      <c r="C8" s="163">
        <v>0.80651811131834694</v>
      </c>
    </row>
    <row r="9" spans="1:7" ht="20.100000000000001" customHeight="1" x14ac:dyDescent="0.25">
      <c r="A9" s="167" t="s">
        <v>14</v>
      </c>
      <c r="B9" s="168">
        <v>197.1</v>
      </c>
      <c r="C9" s="169">
        <v>0.19348188868165306</v>
      </c>
    </row>
    <row r="10" spans="1:7" ht="20.100000000000001" customHeight="1" x14ac:dyDescent="0.25">
      <c r="A10" s="68"/>
      <c r="B10" s="133"/>
      <c r="C10" s="68"/>
    </row>
    <row r="11" spans="1:7" ht="20.100000000000001" customHeight="1" x14ac:dyDescent="0.25">
      <c r="A11" s="73"/>
      <c r="B11" s="68"/>
      <c r="C11" s="68"/>
    </row>
    <row r="12" spans="1:7" ht="15.75" x14ac:dyDescent="0.25">
      <c r="A12" s="74"/>
      <c r="B12" s="68"/>
      <c r="C12" s="68"/>
    </row>
    <row r="13" spans="1:7" x14ac:dyDescent="0.25">
      <c r="B13" s="76"/>
      <c r="C13" s="76"/>
      <c r="D13" s="76"/>
      <c r="E13" s="76"/>
      <c r="F13" s="76"/>
      <c r="G13" s="77"/>
    </row>
    <row r="14" spans="1:7" x14ac:dyDescent="0.25">
      <c r="A14" s="76"/>
      <c r="B14" s="76"/>
      <c r="C14" s="76"/>
      <c r="D14" s="76"/>
      <c r="E14" s="76"/>
      <c r="F14" s="76"/>
      <c r="G14" s="77"/>
    </row>
    <row r="15" spans="1:7" ht="23.1" customHeight="1" x14ac:dyDescent="0.25">
      <c r="A15" s="78"/>
      <c r="B15" s="52"/>
      <c r="C15" s="79"/>
      <c r="D15" s="80"/>
      <c r="E15" s="80"/>
      <c r="F15" s="80"/>
      <c r="G15" s="81"/>
    </row>
    <row r="16" spans="1:7" ht="15.75" x14ac:dyDescent="0.25">
      <c r="A16" s="67"/>
      <c r="B16" s="75"/>
      <c r="C16" s="82"/>
      <c r="D16" s="83"/>
      <c r="E16" s="83"/>
      <c r="F16" s="83"/>
      <c r="G16" s="84"/>
    </row>
    <row r="17" spans="1:9" ht="15.75" x14ac:dyDescent="0.25">
      <c r="B17" s="75"/>
      <c r="C17" s="82"/>
      <c r="D17" s="85"/>
      <c r="E17" s="85"/>
      <c r="F17" s="85"/>
      <c r="G17" s="86"/>
      <c r="I17" s="85"/>
    </row>
    <row r="18" spans="1:9" ht="15.75" x14ac:dyDescent="0.25">
      <c r="A18" s="67"/>
      <c r="B18" s="75"/>
      <c r="C18" s="82"/>
      <c r="D18" s="85"/>
      <c r="E18" s="85"/>
      <c r="F18" s="85"/>
      <c r="G18" s="86"/>
    </row>
    <row r="19" spans="1:9" x14ac:dyDescent="0.25">
      <c r="A19" s="87"/>
      <c r="B19" s="88"/>
      <c r="C19" s="87" t="s">
        <v>34</v>
      </c>
      <c r="D19" s="87"/>
      <c r="E19" s="87"/>
      <c r="F19" s="87"/>
      <c r="G19" s="89"/>
    </row>
    <row r="20" spans="1:9" ht="15.75" x14ac:dyDescent="0.25">
      <c r="A20" s="90"/>
      <c r="B20" s="91"/>
      <c r="C20" s="92"/>
      <c r="D20" s="85"/>
      <c r="E20" s="85"/>
      <c r="F20" s="85"/>
      <c r="G20" s="86"/>
    </row>
    <row r="21" spans="1:9" x14ac:dyDescent="0.25">
      <c r="A21" s="80"/>
      <c r="B21" s="80"/>
      <c r="C21" s="80"/>
      <c r="D21" s="80"/>
      <c r="E21" s="80"/>
      <c r="F21" s="80"/>
      <c r="G21" s="81"/>
    </row>
    <row r="22" spans="1:9" x14ac:dyDescent="0.25">
      <c r="A22" s="85"/>
      <c r="B22" s="85" t="s">
        <v>34</v>
      </c>
      <c r="C22" s="85"/>
      <c r="D22" s="85"/>
      <c r="E22" s="85"/>
      <c r="F22" s="85"/>
      <c r="G22" s="86"/>
    </row>
    <row r="23" spans="1:9" x14ac:dyDescent="0.25">
      <c r="A23" s="80"/>
      <c r="B23" s="80"/>
      <c r="C23" s="80"/>
      <c r="D23" s="80"/>
      <c r="E23" s="80"/>
      <c r="F23" s="80"/>
      <c r="G23" s="81"/>
    </row>
    <row r="24" spans="1:9" x14ac:dyDescent="0.25">
      <c r="A24" s="85"/>
      <c r="B24" s="85"/>
      <c r="C24" s="85"/>
      <c r="D24" s="85"/>
      <c r="E24" s="85"/>
      <c r="F24" s="85"/>
      <c r="G24" s="86"/>
    </row>
    <row r="25" spans="1:9" x14ac:dyDescent="0.25">
      <c r="A25" s="93"/>
      <c r="B25" s="93"/>
      <c r="C25" s="93"/>
      <c r="D25" s="93"/>
      <c r="E25" s="93"/>
      <c r="F25" s="93"/>
      <c r="G25" s="94"/>
    </row>
    <row r="26" spans="1:9" x14ac:dyDescent="0.25">
      <c r="A26" s="80"/>
      <c r="B26" s="80"/>
      <c r="C26" s="80"/>
      <c r="D26" s="80"/>
      <c r="E26" s="80"/>
      <c r="F26" s="80"/>
      <c r="G26" s="81"/>
    </row>
    <row r="27" spans="1:9" x14ac:dyDescent="0.25">
      <c r="A27" s="87"/>
      <c r="B27" s="87"/>
      <c r="C27" s="87"/>
      <c r="D27" s="87"/>
      <c r="E27" s="87"/>
      <c r="F27" s="87"/>
      <c r="G27" s="71"/>
    </row>
    <row r="28" spans="1:9" x14ac:dyDescent="0.25">
      <c r="A28" s="87"/>
      <c r="B28" s="87"/>
      <c r="C28" s="87"/>
      <c r="D28" s="87"/>
      <c r="E28" s="87"/>
      <c r="F28" s="87"/>
      <c r="G28" s="71"/>
    </row>
    <row r="29" spans="1:9" x14ac:dyDescent="0.25">
      <c r="A29" s="80"/>
      <c r="B29" s="80"/>
      <c r="C29" s="80"/>
      <c r="D29" s="80"/>
      <c r="E29" s="80"/>
      <c r="F29" s="80"/>
      <c r="G29" s="81"/>
    </row>
    <row r="30" spans="1:9" x14ac:dyDescent="0.25">
      <c r="A30" s="80"/>
      <c r="B30" s="80"/>
      <c r="C30" s="80"/>
      <c r="D30" s="80"/>
      <c r="E30" s="80"/>
      <c r="F30" s="80"/>
      <c r="G30" s="81"/>
    </row>
    <row r="31" spans="1:9" x14ac:dyDescent="0.25">
      <c r="A31" s="87"/>
      <c r="B31" s="87"/>
      <c r="C31" s="87"/>
      <c r="D31" s="87"/>
      <c r="E31" s="87"/>
      <c r="F31" s="87"/>
      <c r="G31" s="89"/>
    </row>
    <row r="32" spans="1:9" x14ac:dyDescent="0.25">
      <c r="A32" s="85"/>
      <c r="B32" s="85"/>
      <c r="C32" s="85"/>
      <c r="D32" s="85"/>
      <c r="E32" s="85"/>
      <c r="F32" s="85"/>
      <c r="G32" s="86"/>
    </row>
    <row r="33" spans="1:12" x14ac:dyDescent="0.25">
      <c r="A33" s="80"/>
      <c r="B33" s="80"/>
      <c r="C33" s="80"/>
      <c r="D33" s="80"/>
      <c r="E33" s="80"/>
      <c r="F33" s="80"/>
      <c r="G33" s="81"/>
    </row>
    <row r="34" spans="1:12" x14ac:dyDescent="0.25">
      <c r="A34" s="80"/>
      <c r="B34" s="80"/>
      <c r="C34" s="80"/>
      <c r="D34" s="80"/>
      <c r="E34" s="80"/>
      <c r="F34" s="80"/>
      <c r="G34" s="81"/>
    </row>
    <row r="35" spans="1:12" x14ac:dyDescent="0.25">
      <c r="A35" s="87"/>
      <c r="B35" s="87"/>
      <c r="C35" s="87"/>
      <c r="D35" s="87"/>
      <c r="E35" s="87"/>
      <c r="F35" s="87"/>
      <c r="G35" s="89"/>
    </row>
    <row r="36" spans="1:12" x14ac:dyDescent="0.25">
      <c r="A36" s="87"/>
      <c r="B36" s="87"/>
      <c r="C36" s="87"/>
      <c r="D36" s="87"/>
      <c r="E36" s="87"/>
      <c r="F36" s="87"/>
      <c r="G36" s="89"/>
    </row>
    <row r="37" spans="1:12" x14ac:dyDescent="0.25">
      <c r="A37" s="87"/>
      <c r="B37" s="87"/>
      <c r="C37" s="87"/>
      <c r="D37" s="87"/>
      <c r="E37" s="87"/>
      <c r="F37" s="87"/>
      <c r="G37" s="89"/>
    </row>
    <row r="38" spans="1:12" x14ac:dyDescent="0.25">
      <c r="A38" s="87"/>
      <c r="B38" s="87"/>
      <c r="C38" s="87"/>
      <c r="D38" s="87"/>
      <c r="E38" s="87"/>
      <c r="F38" s="87"/>
      <c r="G38" s="89"/>
    </row>
    <row r="39" spans="1:12" x14ac:dyDescent="0.25">
      <c r="A39" s="80"/>
      <c r="B39" s="80"/>
      <c r="C39" s="80"/>
      <c r="D39" s="80"/>
      <c r="E39" s="80"/>
      <c r="F39" s="80"/>
      <c r="G39" s="81"/>
    </row>
    <row r="40" spans="1:12" x14ac:dyDescent="0.25">
      <c r="A40" s="85"/>
      <c r="B40" s="85"/>
      <c r="C40" s="85"/>
      <c r="D40" s="85"/>
      <c r="E40" s="85"/>
      <c r="F40" s="85"/>
      <c r="G40" s="86"/>
    </row>
    <row r="41" spans="1:12" x14ac:dyDescent="0.25">
      <c r="A41" s="87"/>
      <c r="B41" s="87"/>
      <c r="C41" s="87"/>
      <c r="D41" s="87"/>
      <c r="E41" s="87"/>
      <c r="F41" s="87"/>
      <c r="G41" s="89"/>
    </row>
    <row r="42" spans="1:12" x14ac:dyDescent="0.25">
      <c r="G42" s="95"/>
    </row>
    <row r="43" spans="1:12" x14ac:dyDescent="0.25">
      <c r="A43" s="87"/>
      <c r="B43" s="87"/>
      <c r="C43" s="87"/>
      <c r="D43" s="87"/>
      <c r="E43" s="87"/>
      <c r="F43" s="87"/>
      <c r="G43" s="89"/>
    </row>
    <row r="44" spans="1:12" x14ac:dyDescent="0.25">
      <c r="G44" s="96"/>
    </row>
    <row r="45" spans="1:12" ht="15.75" x14ac:dyDescent="0.25">
      <c r="A45" s="67"/>
    </row>
    <row r="46" spans="1:12" x14ac:dyDescent="0.25">
      <c r="A46" s="80"/>
      <c r="B46" s="93"/>
      <c r="C46" s="97"/>
      <c r="D46" s="97"/>
      <c r="E46" s="97"/>
      <c r="F46" s="87"/>
      <c r="G46" s="95"/>
      <c r="J46" s="95"/>
      <c r="K46" s="95"/>
      <c r="L46" s="89"/>
    </row>
    <row r="47" spans="1:12" x14ac:dyDescent="0.25">
      <c r="A47" s="80"/>
      <c r="B47" s="80"/>
      <c r="C47" s="80"/>
      <c r="D47" s="80"/>
      <c r="E47" s="80"/>
      <c r="F47" s="80"/>
      <c r="G47" s="81"/>
      <c r="J47" s="81"/>
      <c r="K47" s="81"/>
      <c r="L47" s="81"/>
    </row>
    <row r="48" spans="1:12" x14ac:dyDescent="0.25">
      <c r="A48" s="80"/>
      <c r="B48" s="80"/>
      <c r="C48" s="80"/>
      <c r="D48" s="80"/>
      <c r="E48" s="80"/>
      <c r="F48" s="80"/>
      <c r="G48" s="81"/>
      <c r="J48" s="81"/>
      <c r="K48" s="81"/>
      <c r="L48" s="81"/>
    </row>
    <row r="49" spans="1:12" x14ac:dyDescent="0.25">
      <c r="A49" s="87"/>
      <c r="B49" s="87"/>
      <c r="C49" s="87"/>
      <c r="D49" s="87"/>
      <c r="E49" s="87"/>
      <c r="F49" s="87"/>
      <c r="G49" s="89"/>
      <c r="J49" s="89"/>
      <c r="K49" s="71"/>
      <c r="L49" s="89"/>
    </row>
    <row r="50" spans="1:12" x14ac:dyDescent="0.25">
      <c r="G50" s="96"/>
    </row>
    <row r="52" spans="1:12" ht="15.75" x14ac:dyDescent="0.25">
      <c r="A52" s="67"/>
    </row>
    <row r="53" spans="1:12" x14ac:dyDescent="0.25">
      <c r="A53" s="98"/>
      <c r="B53" s="76"/>
      <c r="C53" s="76"/>
      <c r="D53" s="76"/>
      <c r="E53" s="76"/>
      <c r="F53" s="76"/>
      <c r="G53" s="99"/>
    </row>
    <row r="54" spans="1:12" x14ac:dyDescent="0.25">
      <c r="A54" s="100"/>
      <c r="G54" s="18"/>
    </row>
    <row r="55" spans="1:12" x14ac:dyDescent="0.25">
      <c r="A55" s="100"/>
      <c r="G55" s="18"/>
    </row>
    <row r="56" spans="1:12" x14ac:dyDescent="0.25">
      <c r="A56" s="100"/>
      <c r="G56" s="18"/>
      <c r="I56" s="85"/>
    </row>
    <row r="57" spans="1:12" x14ac:dyDescent="0.25">
      <c r="A57" s="101"/>
      <c r="B57" s="87"/>
      <c r="C57" s="87"/>
      <c r="D57" s="87"/>
      <c r="E57" s="87"/>
      <c r="F57" s="87"/>
      <c r="G57" s="102"/>
    </row>
    <row r="58" spans="1:12" x14ac:dyDescent="0.25">
      <c r="A58" s="98"/>
      <c r="B58" s="76"/>
      <c r="C58" s="76"/>
      <c r="D58" s="76"/>
      <c r="E58" s="76"/>
      <c r="F58" s="76"/>
      <c r="G58" s="99"/>
    </row>
    <row r="59" spans="1:12" x14ac:dyDescent="0.25">
      <c r="A59" s="100"/>
      <c r="G59" s="18"/>
    </row>
    <row r="60" spans="1:12" x14ac:dyDescent="0.25">
      <c r="A60" s="100"/>
      <c r="G60" s="18"/>
    </row>
    <row r="61" spans="1:12" x14ac:dyDescent="0.25">
      <c r="A61" s="101"/>
      <c r="B61" s="87"/>
      <c r="C61" s="87"/>
      <c r="D61" s="87"/>
      <c r="E61" s="87"/>
      <c r="F61" s="87"/>
      <c r="G61" s="102"/>
    </row>
    <row r="62" spans="1:12" x14ac:dyDescent="0.25">
      <c r="A62" s="98"/>
      <c r="B62" s="76"/>
      <c r="C62" s="76"/>
      <c r="D62" s="76"/>
      <c r="E62" s="76"/>
      <c r="F62" s="76"/>
      <c r="G62" s="99"/>
    </row>
    <row r="63" spans="1:12" x14ac:dyDescent="0.25">
      <c r="A63" s="100"/>
      <c r="G63" s="18"/>
    </row>
    <row r="64" spans="1:12" x14ac:dyDescent="0.25">
      <c r="A64" s="100"/>
      <c r="C64" s="18"/>
      <c r="D64" s="18"/>
      <c r="E64" s="18"/>
      <c r="F64" s="18"/>
      <c r="G64" s="18"/>
    </row>
    <row r="65" spans="1:7" x14ac:dyDescent="0.25">
      <c r="A65" s="101"/>
      <c r="B65" s="87"/>
      <c r="C65" s="87"/>
      <c r="D65" s="87"/>
      <c r="E65" s="87"/>
      <c r="F65" s="87"/>
      <c r="G65" s="102"/>
    </row>
    <row r="66" spans="1:7" x14ac:dyDescent="0.25">
      <c r="A66" s="98"/>
      <c r="B66" s="76"/>
      <c r="C66" s="76"/>
      <c r="D66" s="76"/>
      <c r="E66" s="76"/>
      <c r="F66" s="76"/>
      <c r="G66" s="99"/>
    </row>
    <row r="67" spans="1:7" x14ac:dyDescent="0.25">
      <c r="A67" s="100"/>
      <c r="C67" s="18"/>
      <c r="G67" s="18"/>
    </row>
    <row r="68" spans="1:7" x14ac:dyDescent="0.25">
      <c r="A68" s="101"/>
      <c r="B68" s="87"/>
      <c r="C68" s="87"/>
      <c r="D68" s="87"/>
      <c r="E68" s="87"/>
      <c r="F68" s="87"/>
      <c r="G68" s="102"/>
    </row>
    <row r="69" spans="1:7" x14ac:dyDescent="0.25">
      <c r="A69" s="100"/>
      <c r="G69" s="18"/>
    </row>
    <row r="70" spans="1:7" x14ac:dyDescent="0.25">
      <c r="A70" s="100"/>
      <c r="G70" s="18"/>
    </row>
    <row r="71" spans="1:7" x14ac:dyDescent="0.25">
      <c r="A71" s="101"/>
      <c r="B71" s="87"/>
      <c r="C71" s="87"/>
      <c r="D71" s="87"/>
      <c r="E71" s="87"/>
      <c r="F71" s="87"/>
      <c r="G71" s="102"/>
    </row>
    <row r="72" spans="1:7" x14ac:dyDescent="0.25">
      <c r="A72" s="98"/>
      <c r="B72" s="76"/>
      <c r="C72" s="76"/>
      <c r="D72" s="76"/>
      <c r="E72" s="76"/>
      <c r="F72" s="76"/>
      <c r="G72" s="99"/>
    </row>
    <row r="73" spans="1:7" x14ac:dyDescent="0.25">
      <c r="A73" s="100"/>
      <c r="G73" s="18"/>
    </row>
    <row r="74" spans="1:7" x14ac:dyDescent="0.25">
      <c r="A74" s="100"/>
      <c r="G74" s="18"/>
    </row>
    <row r="75" spans="1:7" x14ac:dyDescent="0.25">
      <c r="A75" s="101"/>
      <c r="B75" s="87"/>
      <c r="C75" s="87"/>
      <c r="D75" s="87"/>
      <c r="E75" s="87"/>
      <c r="F75" s="87"/>
      <c r="G75" s="102"/>
    </row>
    <row r="76" spans="1:7" x14ac:dyDescent="0.25">
      <c r="A76" s="98"/>
      <c r="B76" s="76"/>
      <c r="C76" s="76"/>
      <c r="D76" s="76"/>
      <c r="E76" s="76"/>
      <c r="F76" s="76"/>
      <c r="G76" s="99"/>
    </row>
    <row r="77" spans="1:7" x14ac:dyDescent="0.25">
      <c r="A77" s="100"/>
      <c r="G77" s="18"/>
    </row>
    <row r="78" spans="1:7" x14ac:dyDescent="0.25">
      <c r="A78" s="98"/>
      <c r="B78" s="76"/>
      <c r="C78" s="76"/>
      <c r="D78" s="76"/>
      <c r="E78" s="76"/>
      <c r="F78" s="76"/>
      <c r="G78" s="99"/>
    </row>
    <row r="79" spans="1:7" x14ac:dyDescent="0.25">
      <c r="A79" s="100"/>
      <c r="G79" s="18"/>
    </row>
    <row r="80" spans="1:7" x14ac:dyDescent="0.25">
      <c r="A80" s="100"/>
      <c r="G80" s="18"/>
    </row>
    <row r="81" spans="1:7" x14ac:dyDescent="0.25">
      <c r="A81" s="98"/>
      <c r="B81" s="76"/>
      <c r="C81" s="76"/>
      <c r="D81" s="76"/>
      <c r="E81" s="76"/>
      <c r="F81" s="76"/>
      <c r="G81" s="99"/>
    </row>
    <row r="82" spans="1:7" x14ac:dyDescent="0.25">
      <c r="A82" s="98"/>
      <c r="B82" s="76"/>
      <c r="C82" s="76"/>
      <c r="D82" s="76"/>
      <c r="E82" s="76"/>
      <c r="F82" s="76"/>
      <c r="G82" s="99"/>
    </row>
    <row r="83" spans="1:7" x14ac:dyDescent="0.25">
      <c r="A83" s="100"/>
      <c r="G83" s="18"/>
    </row>
    <row r="84" spans="1:7" x14ac:dyDescent="0.25">
      <c r="A84" s="100"/>
      <c r="G84" s="18"/>
    </row>
    <row r="85" spans="1:7" x14ac:dyDescent="0.25">
      <c r="A85" s="98"/>
      <c r="B85" s="76"/>
      <c r="C85" s="76"/>
      <c r="D85" s="76"/>
      <c r="E85" s="76"/>
      <c r="F85" s="76"/>
      <c r="G85" s="99"/>
    </row>
    <row r="86" spans="1:7" x14ac:dyDescent="0.25">
      <c r="A86" s="100"/>
      <c r="G86" s="18"/>
    </row>
    <row r="87" spans="1:7" x14ac:dyDescent="0.25">
      <c r="A87" s="100"/>
      <c r="G87" s="18"/>
    </row>
    <row r="88" spans="1:7" x14ac:dyDescent="0.25">
      <c r="A88" s="100"/>
      <c r="G88" s="18"/>
    </row>
    <row r="89" spans="1:7" x14ac:dyDescent="0.25">
      <c r="A89" s="100"/>
      <c r="G89" s="18"/>
    </row>
    <row r="90" spans="1:7" x14ac:dyDescent="0.25">
      <c r="A90" s="101"/>
      <c r="B90" s="87"/>
      <c r="C90" s="87"/>
      <c r="D90" s="87"/>
      <c r="E90" s="87"/>
      <c r="F90" s="87"/>
      <c r="G90" s="102"/>
    </row>
    <row r="91" spans="1:7" x14ac:dyDescent="0.25">
      <c r="A91" s="98"/>
      <c r="B91" s="76"/>
      <c r="C91" s="76"/>
      <c r="D91" s="76"/>
      <c r="E91" s="76"/>
      <c r="F91" s="76"/>
      <c r="G91" s="99"/>
    </row>
    <row r="92" spans="1:7" x14ac:dyDescent="0.25">
      <c r="A92" s="98"/>
      <c r="B92" s="76"/>
      <c r="C92" s="76"/>
      <c r="D92" s="76"/>
      <c r="E92" s="76"/>
      <c r="F92" s="76"/>
      <c r="G92" s="99"/>
    </row>
    <row r="93" spans="1:7" x14ac:dyDescent="0.25">
      <c r="A93" s="100"/>
      <c r="G93" s="18"/>
    </row>
    <row r="94" spans="1:7" x14ac:dyDescent="0.25">
      <c r="A94" s="101"/>
      <c r="B94" s="87"/>
      <c r="C94" s="87"/>
      <c r="D94" s="87"/>
      <c r="E94" s="87"/>
      <c r="F94" s="87"/>
      <c r="G94" s="102"/>
    </row>
    <row r="95" spans="1:7" x14ac:dyDescent="0.25">
      <c r="A95" s="101"/>
      <c r="B95" s="87"/>
      <c r="C95" s="87"/>
      <c r="D95" s="87"/>
      <c r="E95" s="87"/>
      <c r="F95" s="87"/>
      <c r="G95" s="102"/>
    </row>
    <row r="96" spans="1:7" x14ac:dyDescent="0.25">
      <c r="A96" s="100"/>
      <c r="G96" s="18"/>
    </row>
    <row r="97" spans="1:16" x14ac:dyDescent="0.25">
      <c r="A97" s="100"/>
      <c r="G97" s="18"/>
    </row>
    <row r="98" spans="1:16" x14ac:dyDescent="0.25">
      <c r="A98" s="101"/>
      <c r="B98" s="87"/>
      <c r="C98" s="87"/>
      <c r="D98" s="87"/>
      <c r="E98" s="87"/>
      <c r="F98" s="87"/>
      <c r="G98" s="102"/>
    </row>
    <row r="99" spans="1:16" x14ac:dyDescent="0.25">
      <c r="A99" s="101"/>
      <c r="B99" s="87"/>
      <c r="C99" s="87"/>
      <c r="D99" s="87"/>
      <c r="E99" s="87"/>
      <c r="F99" s="87"/>
      <c r="G99" s="102"/>
    </row>
    <row r="100" spans="1:16" x14ac:dyDescent="0.25">
      <c r="A100" s="98"/>
      <c r="B100" s="76"/>
      <c r="C100" s="76"/>
      <c r="D100" s="76"/>
      <c r="E100" s="76"/>
      <c r="F100" s="76"/>
      <c r="G100" s="99"/>
    </row>
    <row r="101" spans="1:16" x14ac:dyDescent="0.25">
      <c r="A101" s="101"/>
      <c r="B101" s="87"/>
      <c r="C101" s="87"/>
      <c r="D101" s="87"/>
      <c r="E101" s="87"/>
      <c r="F101" s="87"/>
      <c r="G101" s="102"/>
    </row>
    <row r="102" spans="1:16" x14ac:dyDescent="0.25">
      <c r="A102" s="98"/>
      <c r="B102" s="76"/>
      <c r="C102" s="76"/>
      <c r="D102" s="76"/>
      <c r="E102" s="76"/>
      <c r="F102" s="76"/>
      <c r="G102" s="99"/>
    </row>
    <row r="103" spans="1:16" x14ac:dyDescent="0.25">
      <c r="G103" s="96"/>
    </row>
    <row r="105" spans="1:16" ht="15.75" x14ac:dyDescent="0.25">
      <c r="A105" s="67"/>
    </row>
    <row r="106" spans="1:16" x14ac:dyDescent="0.25">
      <c r="A106" s="100"/>
      <c r="G106" s="18"/>
      <c r="K106" s="18"/>
      <c r="L106" s="18"/>
      <c r="M106" s="103"/>
      <c r="O106" s="18"/>
      <c r="P106" s="18"/>
    </row>
    <row r="107" spans="1:16" x14ac:dyDescent="0.25">
      <c r="A107" s="100"/>
      <c r="G107" s="18"/>
      <c r="K107" s="18"/>
      <c r="L107" s="104"/>
      <c r="M107" s="105"/>
      <c r="O107" s="18"/>
      <c r="P107" s="18"/>
    </row>
    <row r="108" spans="1:16" x14ac:dyDescent="0.25">
      <c r="A108" s="101"/>
      <c r="B108" s="87"/>
      <c r="C108" s="87"/>
      <c r="D108" s="87"/>
      <c r="E108" s="87"/>
      <c r="F108" s="87"/>
      <c r="G108" s="102"/>
      <c r="J108" s="87"/>
      <c r="K108" s="102"/>
      <c r="L108" s="89"/>
      <c r="M108" s="106"/>
      <c r="O108" s="18"/>
      <c r="P108" s="102"/>
    </row>
    <row r="109" spans="1:16" x14ac:dyDescent="0.25">
      <c r="A109" s="100"/>
      <c r="G109" s="18"/>
      <c r="K109" s="18"/>
      <c r="L109" s="104"/>
      <c r="M109" s="105"/>
      <c r="O109" s="18"/>
      <c r="P109" s="18"/>
    </row>
    <row r="110" spans="1:16" x14ac:dyDescent="0.25">
      <c r="A110" s="100"/>
      <c r="G110" s="18"/>
      <c r="K110" s="18"/>
      <c r="L110" s="104"/>
      <c r="M110" s="105"/>
      <c r="O110" s="18"/>
      <c r="P110" s="18"/>
    </row>
    <row r="111" spans="1:16" x14ac:dyDescent="0.25">
      <c r="A111" s="98"/>
      <c r="B111" s="76"/>
      <c r="C111" s="76"/>
      <c r="D111" s="76"/>
      <c r="E111" s="76"/>
      <c r="F111" s="76"/>
      <c r="G111" s="99"/>
      <c r="J111" s="76"/>
      <c r="K111" s="99"/>
      <c r="L111" s="77"/>
      <c r="M111" s="107"/>
      <c r="O111" s="99"/>
      <c r="P111" s="99"/>
    </row>
    <row r="112" spans="1:16" x14ac:dyDescent="0.25">
      <c r="A112" s="98"/>
      <c r="B112" s="76"/>
      <c r="C112" s="76"/>
      <c r="D112" s="76"/>
      <c r="E112" s="76"/>
      <c r="F112" s="76"/>
      <c r="G112" s="99"/>
      <c r="J112" s="76"/>
      <c r="K112" s="99"/>
      <c r="L112" s="77"/>
      <c r="M112" s="108"/>
      <c r="O112" s="99"/>
      <c r="P112" s="99"/>
    </row>
    <row r="113" spans="1:16" x14ac:dyDescent="0.25">
      <c r="A113" s="100"/>
      <c r="G113" s="18"/>
      <c r="K113" s="18"/>
      <c r="L113" s="104"/>
      <c r="M113" s="105"/>
      <c r="O113" s="18"/>
      <c r="P113" s="18"/>
    </row>
    <row r="114" spans="1:16" x14ac:dyDescent="0.25">
      <c r="A114" s="100"/>
      <c r="G114" s="18"/>
      <c r="K114" s="18"/>
      <c r="L114" s="104"/>
      <c r="M114" s="105"/>
      <c r="O114" s="18"/>
      <c r="P114" s="18"/>
    </row>
    <row r="115" spans="1:16" x14ac:dyDescent="0.25">
      <c r="A115" s="100"/>
      <c r="G115" s="109"/>
      <c r="K115" s="18"/>
      <c r="L115" s="110"/>
      <c r="M115" s="111"/>
      <c r="O115" s="18"/>
      <c r="P115" s="18"/>
    </row>
    <row r="116" spans="1:16" x14ac:dyDescent="0.25">
      <c r="A116" s="100"/>
      <c r="G116" s="18"/>
      <c r="K116" s="18"/>
      <c r="L116" s="104"/>
      <c r="M116" s="105"/>
      <c r="O116" s="18"/>
      <c r="P116" s="18"/>
    </row>
    <row r="117" spans="1:16" x14ac:dyDescent="0.25">
      <c r="A117" s="100"/>
      <c r="G117" s="18"/>
      <c r="K117" s="18"/>
      <c r="L117" s="18"/>
      <c r="M117" s="103"/>
      <c r="O117" s="18"/>
      <c r="P117" s="18"/>
    </row>
    <row r="118" spans="1:16" x14ac:dyDescent="0.25">
      <c r="A118" s="98"/>
      <c r="B118" s="76"/>
      <c r="C118" s="76"/>
      <c r="D118" s="76"/>
      <c r="E118" s="76"/>
      <c r="F118" s="76"/>
      <c r="G118" s="99"/>
      <c r="J118" s="76"/>
      <c r="K118" s="99"/>
      <c r="L118" s="99"/>
      <c r="M118" s="107"/>
      <c r="O118" s="99"/>
      <c r="P118" s="99"/>
    </row>
    <row r="119" spans="1:16" x14ac:dyDescent="0.25">
      <c r="A119" s="100"/>
      <c r="G119" s="18"/>
      <c r="K119" s="18"/>
      <c r="L119" s="18"/>
      <c r="M119" s="103"/>
      <c r="O119" s="18"/>
      <c r="P119" s="18"/>
    </row>
    <row r="120" spans="1:16" x14ac:dyDescent="0.25">
      <c r="A120" s="100"/>
      <c r="G120" s="18"/>
      <c r="K120" s="18"/>
      <c r="L120" s="104"/>
      <c r="M120" s="105"/>
      <c r="O120" s="18"/>
      <c r="P120" s="18"/>
    </row>
    <row r="121" spans="1:16" x14ac:dyDescent="0.25">
      <c r="A121" s="100"/>
      <c r="G121" s="18"/>
      <c r="K121" s="18"/>
      <c r="L121" s="104"/>
      <c r="M121" s="105"/>
      <c r="O121" s="18"/>
      <c r="P121" s="18"/>
    </row>
    <row r="122" spans="1:16" x14ac:dyDescent="0.25">
      <c r="A122" s="100"/>
      <c r="G122" s="18"/>
      <c r="K122" s="18"/>
      <c r="L122" s="110"/>
      <c r="M122" s="105"/>
      <c r="O122" s="18"/>
      <c r="P122" s="18"/>
    </row>
    <row r="123" spans="1:16" x14ac:dyDescent="0.25">
      <c r="A123" s="100"/>
      <c r="G123" s="18"/>
      <c r="K123" s="18"/>
      <c r="L123" s="104"/>
      <c r="M123" s="105"/>
      <c r="O123" s="18"/>
      <c r="P123" s="18"/>
    </row>
    <row r="124" spans="1:16" x14ac:dyDescent="0.25">
      <c r="A124" s="100"/>
      <c r="G124" s="18"/>
      <c r="K124" s="18"/>
      <c r="L124" s="110"/>
      <c r="M124" s="111"/>
      <c r="O124" s="18"/>
      <c r="P124" s="18"/>
    </row>
    <row r="125" spans="1:16" x14ac:dyDescent="0.25">
      <c r="A125" s="100"/>
      <c r="G125" s="18"/>
      <c r="K125" s="18"/>
      <c r="L125" s="110"/>
      <c r="M125" s="105"/>
      <c r="O125" s="18"/>
      <c r="P125" s="18"/>
    </row>
    <row r="126" spans="1:16" x14ac:dyDescent="0.25">
      <c r="G126" s="112"/>
    </row>
  </sheetData>
  <mergeCells count="1">
    <mergeCell ref="A2:C2"/>
  </mergeCells>
  <dataValidations count="3">
    <dataValidation type="list" allowBlank="1" showInputMessage="1" showErrorMessage="1" sqref="F54:F85 F100 F98 F106:F115 F117" xr:uid="{70FE0348-9EAE-4593-A787-0826BDC1604C}">
      <formula1>"Seed, Early Stage, Late Stage, Growth Equity"</formula1>
    </dataValidation>
    <dataValidation type="list" allowBlank="1" showInputMessage="1" showErrorMessage="1" sqref="E53:E101 E106:E125" xr:uid="{E656C3D4-C92D-4748-9E71-CE6BB945BC5D}">
      <formula1>"ICT, Life Sciences, ECT, Diversified Sectors"</formula1>
    </dataValidation>
    <dataValidation type="list" allowBlank="1" showInputMessage="1" showErrorMessage="1" sqref="B54:B102 B106:B125" xr:uid="{5E9D71C7-7A1A-49E9-9C5B-D5C44AD1DD1F}">
      <formula1>$A$1:$A$5</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0BEBB-72BC-40C4-9CA9-62B00056172B}">
  <sheetPr codeName="Sheet6"/>
  <dimension ref="A1:H85"/>
  <sheetViews>
    <sheetView zoomScale="90" zoomScaleNormal="90" workbookViewId="0">
      <selection activeCell="D24" sqref="D24"/>
    </sheetView>
  </sheetViews>
  <sheetFormatPr defaultColWidth="8.7109375" defaultRowHeight="15" x14ac:dyDescent="0.25"/>
  <cols>
    <col min="1" max="1" width="33.140625" style="69" customWidth="1"/>
    <col min="2" max="2" width="21.42578125" style="69" customWidth="1"/>
    <col min="3" max="3" width="24.5703125" style="69" customWidth="1"/>
    <col min="4" max="4" width="27.42578125" style="69" customWidth="1"/>
    <col min="5" max="5" width="37.42578125" style="69" customWidth="1"/>
    <col min="6" max="6" width="14" style="69" customWidth="1"/>
    <col min="7" max="7" width="19.5703125" style="69" customWidth="1"/>
    <col min="8" max="8" width="13.28515625" style="69" customWidth="1"/>
    <col min="9" max="9" width="8.7109375" style="69"/>
    <col min="10" max="10" width="13.7109375" style="69" customWidth="1"/>
    <col min="11" max="11" width="11.5703125" style="69" customWidth="1"/>
    <col min="12" max="16384" width="8.7109375" style="69"/>
  </cols>
  <sheetData>
    <row r="1" spans="1:7" ht="15.75" x14ac:dyDescent="0.25">
      <c r="A1" s="67" t="s">
        <v>201</v>
      </c>
      <c r="B1" s="67"/>
      <c r="C1" s="67"/>
      <c r="D1" s="67"/>
      <c r="E1" s="67"/>
    </row>
    <row r="2" spans="1:7" ht="42.75" customHeight="1" x14ac:dyDescent="0.25">
      <c r="A2" s="240" t="s">
        <v>83</v>
      </c>
      <c r="B2" s="240"/>
      <c r="C2" s="240"/>
      <c r="D2" s="240"/>
      <c r="E2" s="240"/>
    </row>
    <row r="3" spans="1:7" x14ac:dyDescent="0.25">
      <c r="A3" s="137"/>
      <c r="B3" s="137"/>
      <c r="C3" s="137"/>
      <c r="D3" s="137"/>
      <c r="E3" s="137"/>
    </row>
    <row r="4" spans="1:7" ht="15.75" x14ac:dyDescent="0.25">
      <c r="A4" s="121" t="s">
        <v>107</v>
      </c>
      <c r="B4" s="154" t="s">
        <v>108</v>
      </c>
      <c r="C4" s="154" t="s">
        <v>109</v>
      </c>
      <c r="D4" s="154" t="s">
        <v>106</v>
      </c>
      <c r="E4" s="155" t="s">
        <v>110</v>
      </c>
    </row>
    <row r="5" spans="1:7" ht="15.75" x14ac:dyDescent="0.25">
      <c r="A5" s="72" t="s">
        <v>75</v>
      </c>
      <c r="B5" s="156">
        <v>10</v>
      </c>
      <c r="C5" s="170">
        <v>0.24390243902439024</v>
      </c>
      <c r="D5" s="171">
        <v>142.80000000000001</v>
      </c>
      <c r="E5" s="157">
        <v>0.17380720545277509</v>
      </c>
    </row>
    <row r="6" spans="1:7" ht="15.75" x14ac:dyDescent="0.25">
      <c r="A6" s="72" t="s">
        <v>76</v>
      </c>
      <c r="B6" s="156">
        <v>0</v>
      </c>
      <c r="C6" s="170">
        <v>0</v>
      </c>
      <c r="D6" s="171">
        <v>0</v>
      </c>
      <c r="E6" s="157">
        <v>0</v>
      </c>
      <c r="F6" s="69" t="s">
        <v>34</v>
      </c>
      <c r="G6" s="69" t="s">
        <v>34</v>
      </c>
    </row>
    <row r="7" spans="1:7" ht="15.75" x14ac:dyDescent="0.25">
      <c r="A7" s="72" t="s">
        <v>77</v>
      </c>
      <c r="B7" s="156">
        <v>0</v>
      </c>
      <c r="C7" s="170">
        <v>0</v>
      </c>
      <c r="D7" s="171">
        <v>0</v>
      </c>
      <c r="E7" s="157">
        <v>0</v>
      </c>
    </row>
    <row r="8" spans="1:7" ht="15.75" x14ac:dyDescent="0.25">
      <c r="A8" s="72" t="s">
        <v>78</v>
      </c>
      <c r="B8" s="156">
        <v>0</v>
      </c>
      <c r="C8" s="170">
        <v>0</v>
      </c>
      <c r="D8" s="171">
        <v>0</v>
      </c>
      <c r="E8" s="157">
        <v>0</v>
      </c>
    </row>
    <row r="9" spans="1:7" ht="15.75" x14ac:dyDescent="0.25">
      <c r="A9" s="72" t="s">
        <v>73</v>
      </c>
      <c r="B9" s="156">
        <v>22</v>
      </c>
      <c r="C9" s="170">
        <v>0.53658536585365857</v>
      </c>
      <c r="D9" s="171">
        <v>459.2</v>
      </c>
      <c r="E9" s="157">
        <v>0.5589094449853943</v>
      </c>
    </row>
    <row r="10" spans="1:7" ht="15.75" x14ac:dyDescent="0.25">
      <c r="A10" s="72" t="s">
        <v>72</v>
      </c>
      <c r="B10" s="156">
        <v>9</v>
      </c>
      <c r="C10" s="170">
        <v>0.21951219512195122</v>
      </c>
      <c r="D10" s="171">
        <v>219.6</v>
      </c>
      <c r="E10" s="157">
        <v>0.26728334956183059</v>
      </c>
    </row>
    <row r="11" spans="1:7" ht="15.75" x14ac:dyDescent="0.25">
      <c r="A11" s="72" t="s">
        <v>84</v>
      </c>
      <c r="B11" s="156">
        <v>0</v>
      </c>
      <c r="C11" s="170">
        <v>0</v>
      </c>
      <c r="D11" s="171">
        <v>0</v>
      </c>
      <c r="E11" s="157">
        <v>0</v>
      </c>
    </row>
    <row r="12" spans="1:7" ht="15.75" x14ac:dyDescent="0.25">
      <c r="A12" s="72" t="s">
        <v>79</v>
      </c>
      <c r="B12" s="156">
        <v>0</v>
      </c>
      <c r="C12" s="170">
        <v>0</v>
      </c>
      <c r="D12" s="171">
        <v>0</v>
      </c>
      <c r="E12" s="157">
        <v>0</v>
      </c>
    </row>
    <row r="13" spans="1:7" ht="15.75" x14ac:dyDescent="0.25">
      <c r="A13" s="72" t="s">
        <v>74</v>
      </c>
      <c r="B13" s="156">
        <v>0</v>
      </c>
      <c r="C13" s="170">
        <v>0</v>
      </c>
      <c r="D13" s="171">
        <v>0</v>
      </c>
      <c r="E13" s="157">
        <v>0</v>
      </c>
    </row>
    <row r="14" spans="1:7" ht="15.75" x14ac:dyDescent="0.25">
      <c r="A14" s="60" t="s">
        <v>0</v>
      </c>
      <c r="B14" s="160">
        <f>SUM(B5:B13)</f>
        <v>41</v>
      </c>
      <c r="C14" s="172">
        <f>SUM(C5:C13)</f>
        <v>1</v>
      </c>
      <c r="D14" s="173">
        <f>SUM(D5:D13)</f>
        <v>821.6</v>
      </c>
      <c r="E14" s="161">
        <f>SUM(E5:E13)</f>
        <v>1</v>
      </c>
    </row>
    <row r="15" spans="1:7" x14ac:dyDescent="0.25">
      <c r="A15" s="113"/>
    </row>
    <row r="16" spans="1:7" x14ac:dyDescent="0.25">
      <c r="A16"/>
      <c r="B16"/>
      <c r="C16"/>
      <c r="D16"/>
      <c r="E16"/>
    </row>
    <row r="17" spans="1:8" x14ac:dyDescent="0.25">
      <c r="A17"/>
      <c r="B17"/>
      <c r="C17"/>
      <c r="D17"/>
      <c r="E17"/>
    </row>
    <row r="18" spans="1:8" x14ac:dyDescent="0.25">
      <c r="A18"/>
      <c r="B18"/>
      <c r="C18"/>
      <c r="D18"/>
      <c r="E18"/>
    </row>
    <row r="19" spans="1:8" x14ac:dyDescent="0.25">
      <c r="A19"/>
      <c r="B19"/>
      <c r="C19"/>
      <c r="D19"/>
      <c r="E19"/>
    </row>
    <row r="20" spans="1:8" x14ac:dyDescent="0.25">
      <c r="A20"/>
      <c r="B20"/>
      <c r="C20"/>
      <c r="D20"/>
      <c r="E20"/>
      <c r="F20" s="76"/>
      <c r="G20" s="76"/>
      <c r="H20" s="99"/>
    </row>
    <row r="21" spans="1:8" x14ac:dyDescent="0.25">
      <c r="A21"/>
      <c r="B21"/>
      <c r="C21"/>
      <c r="D21"/>
      <c r="E21"/>
      <c r="G21" s="114"/>
      <c r="H21" s="18"/>
    </row>
    <row r="22" spans="1:8" x14ac:dyDescent="0.25">
      <c r="A22"/>
      <c r="B22"/>
      <c r="C22"/>
      <c r="D22"/>
      <c r="E22"/>
      <c r="G22" s="114"/>
      <c r="H22" s="18"/>
    </row>
    <row r="23" spans="1:8" x14ac:dyDescent="0.25">
      <c r="A23"/>
      <c r="B23"/>
      <c r="C23"/>
      <c r="D23"/>
      <c r="E23"/>
      <c r="F23" s="87"/>
      <c r="G23" s="114"/>
      <c r="H23" s="102"/>
    </row>
    <row r="24" spans="1:8" x14ac:dyDescent="0.25">
      <c r="A24"/>
      <c r="B24"/>
      <c r="C24"/>
      <c r="D24"/>
      <c r="E24" t="s">
        <v>34</v>
      </c>
      <c r="F24" s="76"/>
      <c r="G24" s="114"/>
      <c r="H24" s="99"/>
    </row>
    <row r="25" spans="1:8" x14ac:dyDescent="0.25">
      <c r="A25"/>
      <c r="B25"/>
      <c r="C25"/>
      <c r="D25"/>
      <c r="E25"/>
      <c r="G25" s="114"/>
      <c r="H25" s="18"/>
    </row>
    <row r="26" spans="1:8" x14ac:dyDescent="0.25">
      <c r="A26"/>
      <c r="B26"/>
      <c r="C26"/>
      <c r="D26" t="s">
        <v>34</v>
      </c>
      <c r="E26"/>
      <c r="G26" s="114"/>
      <c r="H26" s="18"/>
    </row>
    <row r="27" spans="1:8" x14ac:dyDescent="0.25">
      <c r="A27"/>
      <c r="B27"/>
      <c r="C27"/>
      <c r="D27"/>
      <c r="E27"/>
      <c r="F27" s="87"/>
      <c r="G27" s="114"/>
      <c r="H27" s="102"/>
    </row>
    <row r="28" spans="1:8" x14ac:dyDescent="0.25">
      <c r="A28"/>
      <c r="B28"/>
      <c r="C28"/>
      <c r="D28"/>
      <c r="E28"/>
      <c r="F28" s="76"/>
      <c r="G28" s="114"/>
      <c r="H28" s="99"/>
    </row>
    <row r="29" spans="1:8" x14ac:dyDescent="0.25">
      <c r="A29"/>
      <c r="B29"/>
      <c r="C29"/>
      <c r="D29"/>
      <c r="E29"/>
      <c r="G29" s="114"/>
      <c r="H29" s="18"/>
    </row>
    <row r="30" spans="1:8" x14ac:dyDescent="0.25">
      <c r="A30"/>
      <c r="B30"/>
      <c r="C30"/>
      <c r="D30"/>
      <c r="E30"/>
      <c r="F30" s="18"/>
      <c r="G30" s="114"/>
      <c r="H30" s="18"/>
    </row>
    <row r="31" spans="1:8" x14ac:dyDescent="0.25">
      <c r="A31" s="101"/>
      <c r="B31" s="87"/>
      <c r="C31" s="87"/>
      <c r="D31" s="87"/>
      <c r="E31" s="87"/>
      <c r="F31" s="87"/>
      <c r="G31" s="114"/>
      <c r="H31" s="102"/>
    </row>
    <row r="32" spans="1:8" x14ac:dyDescent="0.25">
      <c r="A32" s="98"/>
      <c r="B32" s="76"/>
      <c r="C32" s="76"/>
      <c r="D32" s="76"/>
      <c r="E32" s="76"/>
      <c r="F32" s="76"/>
      <c r="G32" s="114"/>
      <c r="H32" s="99"/>
    </row>
    <row r="33" spans="1:8" x14ac:dyDescent="0.25">
      <c r="A33" s="100"/>
      <c r="D33" s="18"/>
      <c r="G33" s="114"/>
      <c r="H33" s="18"/>
    </row>
    <row r="34" spans="1:8" x14ac:dyDescent="0.25">
      <c r="A34" s="101"/>
      <c r="B34" s="87"/>
      <c r="C34" s="87"/>
      <c r="D34" s="87"/>
      <c r="E34" s="87"/>
      <c r="F34" s="87"/>
      <c r="G34" s="114"/>
      <c r="H34" s="102"/>
    </row>
    <row r="35" spans="1:8" x14ac:dyDescent="0.25">
      <c r="A35" s="100"/>
      <c r="G35" s="114"/>
      <c r="H35" s="18"/>
    </row>
    <row r="36" spans="1:8" x14ac:dyDescent="0.25">
      <c r="A36" s="100"/>
      <c r="G36" s="114"/>
      <c r="H36" s="18"/>
    </row>
    <row r="37" spans="1:8" x14ac:dyDescent="0.25">
      <c r="A37" s="101"/>
      <c r="B37" s="87"/>
      <c r="C37" s="87"/>
      <c r="D37" s="87"/>
      <c r="E37" s="87"/>
      <c r="F37" s="87"/>
      <c r="G37" s="114"/>
      <c r="H37" s="102"/>
    </row>
    <row r="38" spans="1:8" x14ac:dyDescent="0.25">
      <c r="A38" s="98"/>
      <c r="B38" s="76"/>
      <c r="C38" s="76"/>
      <c r="D38" s="76"/>
      <c r="E38" s="76"/>
      <c r="F38" s="76"/>
      <c r="G38" s="114"/>
      <c r="H38" s="99"/>
    </row>
    <row r="39" spans="1:8" x14ac:dyDescent="0.25">
      <c r="A39" s="100"/>
      <c r="G39" s="114"/>
      <c r="H39" s="18"/>
    </row>
    <row r="40" spans="1:8" x14ac:dyDescent="0.25">
      <c r="A40" s="100"/>
      <c r="G40" s="114"/>
      <c r="H40" s="18"/>
    </row>
    <row r="41" spans="1:8" x14ac:dyDescent="0.25">
      <c r="A41" s="101"/>
      <c r="B41" s="87"/>
      <c r="C41" s="87"/>
      <c r="D41" s="87"/>
      <c r="E41" s="87"/>
      <c r="F41" s="87"/>
      <c r="G41" s="114"/>
      <c r="H41" s="102"/>
    </row>
    <row r="42" spans="1:8" x14ac:dyDescent="0.25">
      <c r="A42" s="98"/>
      <c r="B42" s="76"/>
      <c r="C42" s="76"/>
      <c r="D42" s="76"/>
      <c r="E42" s="76"/>
      <c r="F42" s="76"/>
      <c r="G42" s="114"/>
      <c r="H42" s="99"/>
    </row>
    <row r="43" spans="1:8" x14ac:dyDescent="0.25">
      <c r="A43" s="100"/>
      <c r="G43" s="114"/>
      <c r="H43" s="18"/>
    </row>
    <row r="44" spans="1:8" x14ac:dyDescent="0.25">
      <c r="A44" s="98"/>
      <c r="B44" s="76"/>
      <c r="C44" s="76"/>
      <c r="D44" s="76"/>
      <c r="E44" s="76"/>
      <c r="F44" s="76"/>
      <c r="G44" s="114"/>
      <c r="H44" s="99"/>
    </row>
    <row r="45" spans="1:8" x14ac:dyDescent="0.25">
      <c r="A45" s="100"/>
      <c r="G45" s="114"/>
      <c r="H45" s="18"/>
    </row>
    <row r="46" spans="1:8" x14ac:dyDescent="0.25">
      <c r="A46" s="100"/>
      <c r="G46" s="114"/>
      <c r="H46" s="18"/>
    </row>
    <row r="47" spans="1:8" x14ac:dyDescent="0.25">
      <c r="A47" s="98"/>
      <c r="B47" s="76"/>
      <c r="C47" s="76"/>
      <c r="D47" s="76"/>
      <c r="E47" s="76"/>
      <c r="F47" s="76"/>
      <c r="G47" s="114"/>
      <c r="H47" s="99"/>
    </row>
    <row r="48" spans="1:8" x14ac:dyDescent="0.25">
      <c r="A48" s="98"/>
      <c r="B48" s="76"/>
      <c r="C48" s="76"/>
      <c r="D48" s="76"/>
      <c r="E48" s="76"/>
      <c r="F48" s="76"/>
      <c r="G48" s="114"/>
      <c r="H48" s="99"/>
    </row>
    <row r="49" spans="1:8" x14ac:dyDescent="0.25">
      <c r="A49" s="100"/>
      <c r="G49" s="114"/>
      <c r="H49" s="18"/>
    </row>
    <row r="50" spans="1:8" x14ac:dyDescent="0.25">
      <c r="A50" s="100"/>
      <c r="G50" s="114"/>
      <c r="H50" s="18"/>
    </row>
    <row r="51" spans="1:8" x14ac:dyDescent="0.25">
      <c r="A51" s="98"/>
      <c r="B51" s="76"/>
      <c r="C51" s="76"/>
      <c r="D51" s="76"/>
      <c r="E51" s="76"/>
      <c r="F51" s="76"/>
      <c r="G51" s="114"/>
      <c r="H51" s="99"/>
    </row>
    <row r="52" spans="1:8" x14ac:dyDescent="0.25">
      <c r="A52" s="100"/>
      <c r="G52" s="114"/>
      <c r="H52" s="18"/>
    </row>
    <row r="53" spans="1:8" x14ac:dyDescent="0.25">
      <c r="A53" s="100"/>
      <c r="G53" s="114"/>
      <c r="H53" s="18"/>
    </row>
    <row r="54" spans="1:8" x14ac:dyDescent="0.25">
      <c r="A54" s="100"/>
      <c r="G54" s="114"/>
      <c r="H54" s="18"/>
    </row>
    <row r="55" spans="1:8" x14ac:dyDescent="0.25">
      <c r="A55" s="100"/>
      <c r="G55" s="114"/>
      <c r="H55" s="18"/>
    </row>
    <row r="56" spans="1:8" x14ac:dyDescent="0.25">
      <c r="A56" s="101"/>
      <c r="B56" s="87"/>
      <c r="C56" s="87"/>
      <c r="D56" s="87"/>
      <c r="E56" s="87"/>
      <c r="F56" s="87"/>
      <c r="G56" s="114"/>
      <c r="H56" s="102"/>
    </row>
    <row r="57" spans="1:8" x14ac:dyDescent="0.25">
      <c r="A57" s="98"/>
      <c r="B57" s="76"/>
      <c r="C57" s="76"/>
      <c r="D57" s="76"/>
      <c r="E57" s="76"/>
      <c r="F57" s="76"/>
      <c r="G57" s="114"/>
      <c r="H57" s="99"/>
    </row>
    <row r="58" spans="1:8" x14ac:dyDescent="0.25">
      <c r="A58" s="98"/>
      <c r="B58" s="76"/>
      <c r="C58" s="76"/>
      <c r="D58" s="76"/>
      <c r="E58" s="76"/>
      <c r="F58" s="76"/>
      <c r="G58" s="114"/>
      <c r="H58" s="99"/>
    </row>
    <row r="59" spans="1:8" x14ac:dyDescent="0.25">
      <c r="A59" s="100"/>
      <c r="G59" s="114"/>
      <c r="H59" s="18"/>
    </row>
    <row r="60" spans="1:8" x14ac:dyDescent="0.25">
      <c r="A60" s="101"/>
      <c r="B60" s="87"/>
      <c r="C60" s="87"/>
      <c r="D60" s="87"/>
      <c r="E60" s="87"/>
      <c r="F60" s="87"/>
      <c r="G60" s="114"/>
      <c r="H60" s="102"/>
    </row>
    <row r="61" spans="1:8" x14ac:dyDescent="0.25">
      <c r="A61" s="101"/>
      <c r="B61" s="87"/>
      <c r="C61" s="87"/>
      <c r="D61" s="87"/>
      <c r="E61" s="87"/>
      <c r="F61" s="87"/>
      <c r="G61" s="114"/>
      <c r="H61" s="102"/>
    </row>
    <row r="62" spans="1:8" x14ac:dyDescent="0.25">
      <c r="A62" s="100"/>
      <c r="G62" s="114"/>
      <c r="H62" s="18"/>
    </row>
    <row r="63" spans="1:8" x14ac:dyDescent="0.25">
      <c r="A63" s="100"/>
      <c r="G63" s="114"/>
      <c r="H63" s="18"/>
    </row>
    <row r="64" spans="1:8" x14ac:dyDescent="0.25">
      <c r="A64" s="101"/>
      <c r="B64" s="87"/>
      <c r="C64" s="87"/>
      <c r="D64" s="87"/>
      <c r="E64" s="87"/>
      <c r="F64" s="87"/>
      <c r="G64" s="114"/>
      <c r="H64" s="102"/>
    </row>
    <row r="65" spans="1:8" x14ac:dyDescent="0.25">
      <c r="A65" s="101"/>
      <c r="B65" s="87"/>
      <c r="C65" s="87"/>
      <c r="D65" s="87"/>
      <c r="E65" s="87"/>
      <c r="F65" s="87"/>
      <c r="G65" s="114"/>
      <c r="H65" s="102"/>
    </row>
    <row r="66" spans="1:8" x14ac:dyDescent="0.25">
      <c r="A66" s="98"/>
      <c r="B66" s="76"/>
      <c r="C66" s="76"/>
      <c r="D66" s="76"/>
      <c r="E66" s="76"/>
      <c r="F66" s="76"/>
      <c r="G66" s="114"/>
      <c r="H66" s="99"/>
    </row>
    <row r="67" spans="1:8" x14ac:dyDescent="0.25">
      <c r="A67" s="101"/>
      <c r="B67" s="87"/>
      <c r="C67" s="87"/>
      <c r="D67" s="87"/>
      <c r="E67" s="87"/>
      <c r="F67" s="87"/>
      <c r="G67" s="114"/>
      <c r="H67" s="102"/>
    </row>
    <row r="68" spans="1:8" x14ac:dyDescent="0.25">
      <c r="A68" s="98"/>
      <c r="B68" s="76"/>
      <c r="C68" s="76"/>
      <c r="D68" s="76"/>
      <c r="E68" s="76"/>
      <c r="F68" s="76"/>
      <c r="G68" s="114"/>
      <c r="H68" s="99"/>
    </row>
    <row r="69" spans="1:8" x14ac:dyDescent="0.25">
      <c r="A69" s="100"/>
      <c r="E69" s="87"/>
      <c r="G69" s="114"/>
      <c r="H69" s="115"/>
    </row>
    <row r="70" spans="1:8" x14ac:dyDescent="0.25">
      <c r="A70" s="100"/>
      <c r="E70" s="87"/>
      <c r="G70" s="116"/>
    </row>
    <row r="71" spans="1:8" x14ac:dyDescent="0.25">
      <c r="A71" s="100"/>
      <c r="E71" s="87"/>
      <c r="G71" s="116"/>
    </row>
    <row r="72" spans="1:8" x14ac:dyDescent="0.25">
      <c r="A72" s="100"/>
      <c r="E72" s="87"/>
      <c r="G72" s="116"/>
    </row>
    <row r="73" spans="1:8" x14ac:dyDescent="0.25">
      <c r="A73" s="101"/>
      <c r="B73" s="87"/>
      <c r="C73" s="87"/>
      <c r="D73" s="87"/>
      <c r="E73" s="87"/>
      <c r="G73" s="116"/>
    </row>
    <row r="74" spans="1:8" x14ac:dyDescent="0.25">
      <c r="A74" s="98"/>
      <c r="B74" s="76"/>
      <c r="C74" s="76"/>
      <c r="D74" s="76"/>
      <c r="E74" s="87"/>
      <c r="G74" s="116"/>
    </row>
    <row r="75" spans="1:8" x14ac:dyDescent="0.25">
      <c r="A75" s="98"/>
      <c r="B75" s="76"/>
      <c r="C75" s="76"/>
      <c r="D75" s="76"/>
      <c r="E75" s="87"/>
      <c r="G75" s="116"/>
    </row>
    <row r="76" spans="1:8" x14ac:dyDescent="0.25">
      <c r="A76" s="100"/>
      <c r="E76" s="87"/>
      <c r="G76" s="116"/>
    </row>
    <row r="77" spans="1:8" x14ac:dyDescent="0.25">
      <c r="A77" s="101"/>
      <c r="B77" s="87"/>
      <c r="C77" s="87"/>
      <c r="D77" s="87"/>
      <c r="E77" s="87"/>
      <c r="G77" s="116"/>
    </row>
    <row r="78" spans="1:8" x14ac:dyDescent="0.25">
      <c r="A78" s="101"/>
      <c r="B78" s="87"/>
      <c r="C78" s="87"/>
      <c r="D78" s="87"/>
      <c r="E78" s="87"/>
      <c r="G78" s="116"/>
    </row>
    <row r="79" spans="1:8" x14ac:dyDescent="0.25">
      <c r="A79" s="100"/>
      <c r="E79" s="87"/>
      <c r="G79" s="116"/>
    </row>
    <row r="80" spans="1:8" x14ac:dyDescent="0.25">
      <c r="A80" s="100"/>
      <c r="E80" s="87"/>
      <c r="G80" s="116"/>
    </row>
    <row r="81" spans="1:7" x14ac:dyDescent="0.25">
      <c r="A81" s="101"/>
      <c r="B81" s="87"/>
      <c r="C81" s="87"/>
      <c r="D81" s="87"/>
      <c r="E81" s="87"/>
      <c r="G81" s="116"/>
    </row>
    <row r="82" spans="1:7" x14ac:dyDescent="0.25">
      <c r="A82" s="101"/>
      <c r="B82" s="87"/>
      <c r="C82" s="87"/>
      <c r="D82" s="87"/>
      <c r="E82" s="87"/>
      <c r="G82" s="116"/>
    </row>
    <row r="83" spans="1:7" x14ac:dyDescent="0.25">
      <c r="A83" s="98"/>
      <c r="B83" s="76"/>
      <c r="C83" s="76"/>
      <c r="D83" s="76"/>
      <c r="E83" s="87"/>
      <c r="G83" s="116"/>
    </row>
    <row r="84" spans="1:7" x14ac:dyDescent="0.25">
      <c r="A84" s="101"/>
      <c r="B84" s="87"/>
      <c r="C84" s="87"/>
      <c r="D84" s="87"/>
      <c r="E84" s="87"/>
      <c r="G84" s="116"/>
    </row>
    <row r="85" spans="1:7" x14ac:dyDescent="0.25">
      <c r="A85" s="98"/>
      <c r="B85" s="76"/>
      <c r="C85" s="76"/>
      <c r="D85" s="76"/>
      <c r="E85" s="87"/>
    </row>
  </sheetData>
  <mergeCells count="1">
    <mergeCell ref="A2:E2"/>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1C983-F290-4E5B-A8F1-87298B6B3029}">
  <sheetPr codeName="Sheet7"/>
  <dimension ref="A1:H71"/>
  <sheetViews>
    <sheetView workbookViewId="0">
      <selection activeCell="A18" sqref="A18"/>
    </sheetView>
  </sheetViews>
  <sheetFormatPr defaultRowHeight="15" x14ac:dyDescent="0.25"/>
  <cols>
    <col min="1" max="1" width="27.42578125" customWidth="1"/>
    <col min="2" max="2" width="20" customWidth="1"/>
    <col min="3" max="3" width="23.5703125" customWidth="1"/>
    <col min="4" max="4" width="31.7109375" customWidth="1"/>
    <col min="5" max="5" width="33" customWidth="1"/>
    <col min="6" max="6" width="14.7109375" customWidth="1"/>
    <col min="7" max="7" width="18.7109375" customWidth="1"/>
    <col min="8" max="8" width="12.42578125" customWidth="1"/>
  </cols>
  <sheetData>
    <row r="1" spans="1:8" ht="20.100000000000001" customHeight="1" x14ac:dyDescent="0.25">
      <c r="A1" s="1" t="s">
        <v>199</v>
      </c>
      <c r="B1" s="1"/>
      <c r="C1" s="1"/>
      <c r="D1" s="1"/>
      <c r="E1" s="1"/>
    </row>
    <row r="2" spans="1:8" ht="48" customHeight="1" x14ac:dyDescent="0.25">
      <c r="A2" s="239" t="s">
        <v>85</v>
      </c>
      <c r="B2" s="239"/>
      <c r="C2" s="239"/>
      <c r="D2" s="239"/>
      <c r="E2" s="239"/>
    </row>
    <row r="3" spans="1:8" ht="14.45" customHeight="1" x14ac:dyDescent="0.25">
      <c r="A3" s="134"/>
      <c r="B3" s="134"/>
      <c r="C3" s="134"/>
      <c r="D3" s="134"/>
      <c r="E3" s="134"/>
    </row>
    <row r="4" spans="1:8" ht="20.100000000000001" customHeight="1" x14ac:dyDescent="0.25">
      <c r="A4" s="61" t="s">
        <v>112</v>
      </c>
      <c r="B4" s="174" t="s">
        <v>108</v>
      </c>
      <c r="C4" s="174" t="s">
        <v>113</v>
      </c>
      <c r="D4" s="174" t="s">
        <v>106</v>
      </c>
      <c r="E4" s="175" t="s">
        <v>110</v>
      </c>
      <c r="F4" s="4"/>
    </row>
    <row r="5" spans="1:8" ht="20.100000000000001" customHeight="1" x14ac:dyDescent="0.25">
      <c r="A5" s="123" t="s">
        <v>16</v>
      </c>
      <c r="B5" s="19">
        <v>10</v>
      </c>
      <c r="C5" s="176">
        <v>0.24390243902439024</v>
      </c>
      <c r="D5" s="177">
        <v>125.4</v>
      </c>
      <c r="E5" s="178">
        <v>0.15262901655306715</v>
      </c>
      <c r="F5" s="4"/>
      <c r="G5" s="179"/>
      <c r="H5" s="63"/>
    </row>
    <row r="6" spans="1:8" ht="20.100000000000001" customHeight="1" x14ac:dyDescent="0.25">
      <c r="A6" s="123" t="s">
        <v>17</v>
      </c>
      <c r="B6" s="19">
        <v>19</v>
      </c>
      <c r="C6" s="176">
        <v>0.46341463414634149</v>
      </c>
      <c r="D6" s="177">
        <v>352.2</v>
      </c>
      <c r="E6" s="178">
        <v>0.42867575462512164</v>
      </c>
      <c r="F6" s="4"/>
      <c r="G6" s="179"/>
      <c r="H6" s="63"/>
    </row>
    <row r="7" spans="1:8" ht="20.100000000000001" customHeight="1" x14ac:dyDescent="0.25">
      <c r="A7" s="123" t="s">
        <v>18</v>
      </c>
      <c r="B7" s="19">
        <v>4</v>
      </c>
      <c r="C7" s="176">
        <v>9.7560975609756101E-2</v>
      </c>
      <c r="D7" s="177">
        <v>88.2</v>
      </c>
      <c r="E7" s="178">
        <v>0.10735150925024341</v>
      </c>
      <c r="F7" s="4"/>
      <c r="G7" s="179"/>
      <c r="H7" s="63"/>
    </row>
    <row r="8" spans="1:8" ht="20.100000000000001" customHeight="1" x14ac:dyDescent="0.25">
      <c r="A8" s="123" t="s">
        <v>19</v>
      </c>
      <c r="B8" s="19">
        <v>8</v>
      </c>
      <c r="C8" s="176">
        <v>0.1951219512195122</v>
      </c>
      <c r="D8" s="177">
        <v>255.8</v>
      </c>
      <c r="E8" s="178">
        <v>0.31134371957156765</v>
      </c>
      <c r="F8" s="4"/>
      <c r="G8" s="179"/>
      <c r="H8" s="63"/>
    </row>
    <row r="9" spans="1:8" ht="20.100000000000001" customHeight="1" x14ac:dyDescent="0.25">
      <c r="A9" s="58" t="s">
        <v>0</v>
      </c>
      <c r="B9" s="180">
        <f>SUM(B5:B8)</f>
        <v>41</v>
      </c>
      <c r="C9" s="181">
        <f>SUM(C5:C8)</f>
        <v>1</v>
      </c>
      <c r="D9" s="182">
        <f>SUM(D5:D8)</f>
        <v>821.60000000000014</v>
      </c>
      <c r="E9" s="183">
        <f>SUM(E5:E8)</f>
        <v>0.99999999999999978</v>
      </c>
      <c r="F9" s="4"/>
      <c r="G9" s="179"/>
    </row>
    <row r="10" spans="1:8" x14ac:dyDescent="0.25">
      <c r="A10" s="9"/>
    </row>
    <row r="11" spans="1:8" x14ac:dyDescent="0.25">
      <c r="A11" s="9"/>
    </row>
    <row r="14" spans="1:8" ht="20.100000000000001" customHeight="1" x14ac:dyDescent="0.25">
      <c r="F14" s="1"/>
    </row>
    <row r="15" spans="1:8" x14ac:dyDescent="0.25">
      <c r="F15" s="10"/>
      <c r="H15" s="15"/>
    </row>
    <row r="16" spans="1:8" x14ac:dyDescent="0.25">
      <c r="C16" t="s">
        <v>34</v>
      </c>
      <c r="H16" s="15"/>
    </row>
    <row r="17" spans="1:8" x14ac:dyDescent="0.25">
      <c r="C17" t="s">
        <v>229</v>
      </c>
      <c r="F17" s="15"/>
      <c r="G17" s="27"/>
      <c r="H17" s="17"/>
    </row>
    <row r="18" spans="1:8" x14ac:dyDescent="0.25">
      <c r="F18" s="11"/>
      <c r="G18" s="27"/>
      <c r="H18" s="13"/>
    </row>
    <row r="19" spans="1:8" x14ac:dyDescent="0.25">
      <c r="F19" s="10"/>
      <c r="G19" s="27"/>
      <c r="H19" s="15"/>
    </row>
    <row r="20" spans="1:8" x14ac:dyDescent="0.25">
      <c r="G20" s="27"/>
      <c r="H20" s="17"/>
    </row>
    <row r="21" spans="1:8" x14ac:dyDescent="0.25">
      <c r="A21" s="16"/>
      <c r="B21" s="11"/>
      <c r="C21" s="11"/>
      <c r="D21" s="11"/>
      <c r="E21" s="11"/>
      <c r="F21" s="11"/>
      <c r="G21" s="27"/>
      <c r="H21" s="15"/>
    </row>
    <row r="22" spans="1:8" x14ac:dyDescent="0.25">
      <c r="A22" s="14"/>
      <c r="G22" s="27"/>
      <c r="H22" s="15"/>
    </row>
    <row r="23" spans="1:8" x14ac:dyDescent="0.25">
      <c r="A23" s="14"/>
      <c r="G23" s="27"/>
      <c r="H23" s="17"/>
    </row>
    <row r="24" spans="1:8" x14ac:dyDescent="0.25">
      <c r="A24" s="16"/>
      <c r="B24" s="11"/>
      <c r="C24" s="11"/>
      <c r="D24" s="11"/>
      <c r="E24" s="11"/>
      <c r="F24" s="11"/>
      <c r="G24" s="27"/>
      <c r="H24" s="13"/>
    </row>
    <row r="25" spans="1:8" x14ac:dyDescent="0.25">
      <c r="A25" s="12"/>
      <c r="B25" s="10"/>
      <c r="C25" s="10"/>
      <c r="D25" s="10"/>
      <c r="E25" s="10"/>
      <c r="F25" s="10"/>
      <c r="G25" s="27"/>
      <c r="H25" s="15"/>
    </row>
    <row r="26" spans="1:8" x14ac:dyDescent="0.25">
      <c r="A26" s="14"/>
      <c r="G26" s="27"/>
      <c r="H26" s="15"/>
    </row>
    <row r="27" spans="1:8" x14ac:dyDescent="0.25">
      <c r="A27" s="14"/>
      <c r="G27" s="27"/>
      <c r="H27" s="17"/>
    </row>
    <row r="28" spans="1:8" x14ac:dyDescent="0.25">
      <c r="A28" s="16"/>
      <c r="B28" s="11"/>
      <c r="C28" s="11"/>
      <c r="D28" s="11"/>
      <c r="E28" s="11"/>
      <c r="F28" s="11"/>
      <c r="G28" s="27"/>
      <c r="H28" s="13"/>
    </row>
    <row r="29" spans="1:8" x14ac:dyDescent="0.25">
      <c r="A29" s="12"/>
      <c r="B29" s="10"/>
      <c r="C29" s="10"/>
      <c r="D29" s="10"/>
      <c r="E29" s="10"/>
      <c r="F29" s="10"/>
      <c r="G29" s="27"/>
      <c r="H29" s="15"/>
    </row>
    <row r="30" spans="1:8" x14ac:dyDescent="0.25">
      <c r="A30" s="14"/>
      <c r="G30" s="27"/>
      <c r="H30" s="13"/>
    </row>
    <row r="31" spans="1:8" x14ac:dyDescent="0.25">
      <c r="A31" s="12"/>
      <c r="B31" s="10"/>
      <c r="C31" s="10"/>
      <c r="D31" s="10"/>
      <c r="E31" s="10"/>
      <c r="F31" s="10"/>
      <c r="G31" s="27"/>
      <c r="H31" s="15"/>
    </row>
    <row r="32" spans="1:8" x14ac:dyDescent="0.25">
      <c r="A32" s="14"/>
      <c r="G32" s="27"/>
      <c r="H32" s="15"/>
    </row>
    <row r="33" spans="1:8" x14ac:dyDescent="0.25">
      <c r="A33" s="14"/>
      <c r="G33" s="27"/>
      <c r="H33" s="13"/>
    </row>
    <row r="34" spans="1:8" x14ac:dyDescent="0.25">
      <c r="A34" s="12"/>
      <c r="B34" s="10"/>
      <c r="C34" s="10"/>
      <c r="D34" s="10"/>
      <c r="E34" s="10"/>
      <c r="F34" s="10"/>
      <c r="G34" s="27"/>
      <c r="H34" s="13"/>
    </row>
    <row r="35" spans="1:8" x14ac:dyDescent="0.25">
      <c r="A35" s="12"/>
      <c r="B35" s="10"/>
      <c r="C35" s="10"/>
      <c r="D35" s="10"/>
      <c r="E35" s="10"/>
      <c r="F35" s="10"/>
      <c r="G35" s="27"/>
      <c r="H35" s="15"/>
    </row>
    <row r="36" spans="1:8" x14ac:dyDescent="0.25">
      <c r="A36" s="14"/>
      <c r="G36" s="27"/>
      <c r="H36" s="15"/>
    </row>
    <row r="37" spans="1:8" x14ac:dyDescent="0.25">
      <c r="A37" s="14"/>
      <c r="G37" s="27"/>
      <c r="H37" s="13"/>
    </row>
    <row r="38" spans="1:8" x14ac:dyDescent="0.25">
      <c r="A38" s="12"/>
      <c r="B38" s="10"/>
      <c r="C38" s="10"/>
      <c r="D38" s="10"/>
      <c r="E38" s="10"/>
      <c r="F38" s="10"/>
      <c r="G38" s="27"/>
      <c r="H38" s="15"/>
    </row>
    <row r="39" spans="1:8" x14ac:dyDescent="0.25">
      <c r="A39" s="14"/>
      <c r="G39" s="27"/>
      <c r="H39" s="15"/>
    </row>
    <row r="40" spans="1:8" x14ac:dyDescent="0.25">
      <c r="A40" s="14"/>
      <c r="G40" s="27"/>
      <c r="H40" s="15"/>
    </row>
    <row r="41" spans="1:8" x14ac:dyDescent="0.25">
      <c r="A41" s="14"/>
      <c r="G41" s="27"/>
      <c r="H41" s="15"/>
    </row>
    <row r="42" spans="1:8" x14ac:dyDescent="0.25">
      <c r="A42" s="14"/>
      <c r="G42" s="27"/>
      <c r="H42" s="17"/>
    </row>
    <row r="43" spans="1:8" x14ac:dyDescent="0.25">
      <c r="A43" s="16"/>
      <c r="B43" s="11"/>
      <c r="C43" s="11"/>
      <c r="D43" s="11"/>
      <c r="E43" s="11"/>
      <c r="F43" s="11"/>
      <c r="G43" s="27"/>
      <c r="H43" s="13"/>
    </row>
    <row r="44" spans="1:8" x14ac:dyDescent="0.25">
      <c r="A44" s="12"/>
      <c r="B44" s="10"/>
      <c r="C44" s="10"/>
      <c r="D44" s="10"/>
      <c r="E44" s="10"/>
      <c r="F44" s="10"/>
      <c r="G44" s="27"/>
      <c r="H44" s="13"/>
    </row>
    <row r="45" spans="1:8" x14ac:dyDescent="0.25">
      <c r="A45" s="12"/>
      <c r="B45" s="10"/>
      <c r="C45" s="10"/>
      <c r="D45" s="10"/>
      <c r="E45" s="10"/>
      <c r="F45" s="10"/>
      <c r="G45" s="27"/>
      <c r="H45" s="15"/>
    </row>
    <row r="46" spans="1:8" x14ac:dyDescent="0.25">
      <c r="A46" s="14"/>
      <c r="G46" s="27"/>
      <c r="H46" s="17"/>
    </row>
    <row r="47" spans="1:8" x14ac:dyDescent="0.25">
      <c r="A47" s="16"/>
      <c r="B47" s="11"/>
      <c r="C47" s="11"/>
      <c r="D47" s="11"/>
      <c r="E47" s="11"/>
      <c r="F47" s="11"/>
      <c r="G47" s="27"/>
      <c r="H47" s="17"/>
    </row>
    <row r="48" spans="1:8" x14ac:dyDescent="0.25">
      <c r="A48" s="16"/>
      <c r="B48" s="11"/>
      <c r="C48" s="11"/>
      <c r="D48" s="11"/>
      <c r="E48" s="11"/>
      <c r="F48" s="11"/>
      <c r="G48" s="27"/>
      <c r="H48" s="15"/>
    </row>
    <row r="49" spans="1:8" x14ac:dyDescent="0.25">
      <c r="A49" s="14"/>
      <c r="G49" s="27"/>
      <c r="H49" s="15"/>
    </row>
    <row r="50" spans="1:8" x14ac:dyDescent="0.25">
      <c r="A50" s="14"/>
      <c r="G50" s="27"/>
      <c r="H50" s="17"/>
    </row>
    <row r="51" spans="1:8" x14ac:dyDescent="0.25">
      <c r="A51" s="16"/>
      <c r="B51" s="11"/>
      <c r="C51" s="11"/>
      <c r="D51" s="11"/>
      <c r="E51" s="11"/>
      <c r="F51" s="11"/>
      <c r="G51" s="27"/>
      <c r="H51" s="17"/>
    </row>
    <row r="52" spans="1:8" x14ac:dyDescent="0.25">
      <c r="A52" s="16"/>
      <c r="B52" s="11"/>
      <c r="C52" s="11"/>
      <c r="D52" s="11"/>
      <c r="E52" s="11"/>
      <c r="F52" s="11"/>
      <c r="G52" s="27"/>
      <c r="H52" s="13"/>
    </row>
    <row r="53" spans="1:8" x14ac:dyDescent="0.25">
      <c r="A53" s="12"/>
      <c r="B53" s="10"/>
      <c r="C53" s="10"/>
      <c r="D53" s="10"/>
      <c r="E53" s="10"/>
      <c r="F53" s="10"/>
      <c r="G53" s="27"/>
      <c r="H53" s="17"/>
    </row>
    <row r="54" spans="1:8" x14ac:dyDescent="0.25">
      <c r="A54" s="16"/>
      <c r="B54" s="11"/>
      <c r="C54" s="11"/>
      <c r="D54" s="11"/>
      <c r="E54" s="11"/>
      <c r="F54" s="10"/>
      <c r="G54" s="27"/>
      <c r="H54" s="13"/>
    </row>
    <row r="55" spans="1:8" x14ac:dyDescent="0.25">
      <c r="A55" s="12"/>
      <c r="B55" s="10"/>
      <c r="C55" s="10"/>
      <c r="D55" s="10"/>
      <c r="E55" s="10"/>
      <c r="F55" s="10"/>
      <c r="G55" s="27"/>
    </row>
    <row r="56" spans="1:8" x14ac:dyDescent="0.25">
      <c r="A56" s="14"/>
      <c r="E56" s="11"/>
      <c r="F56" s="10"/>
      <c r="G56" s="27"/>
    </row>
    <row r="57" spans="1:8" x14ac:dyDescent="0.25">
      <c r="A57" s="14"/>
      <c r="E57" s="11"/>
      <c r="F57" s="10"/>
      <c r="G57" s="28"/>
    </row>
    <row r="58" spans="1:8" x14ac:dyDescent="0.25">
      <c r="A58" s="14"/>
      <c r="E58" s="11"/>
      <c r="F58" s="10"/>
      <c r="G58" s="28"/>
    </row>
    <row r="59" spans="1:8" x14ac:dyDescent="0.25">
      <c r="A59" s="14"/>
      <c r="E59" s="11"/>
      <c r="F59" s="10"/>
      <c r="G59" s="28"/>
    </row>
    <row r="60" spans="1:8" x14ac:dyDescent="0.25">
      <c r="A60" s="16"/>
      <c r="B60" s="11"/>
      <c r="C60" s="11"/>
      <c r="D60" s="11"/>
      <c r="E60" s="11"/>
      <c r="F60" s="10"/>
      <c r="G60" s="28"/>
    </row>
    <row r="61" spans="1:8" x14ac:dyDescent="0.25">
      <c r="A61" s="12"/>
      <c r="B61" s="10"/>
      <c r="C61" s="10"/>
      <c r="D61" s="10"/>
      <c r="E61" s="11"/>
      <c r="F61" s="10"/>
      <c r="G61" s="28"/>
    </row>
    <row r="62" spans="1:8" x14ac:dyDescent="0.25">
      <c r="A62" s="12"/>
      <c r="B62" s="10"/>
      <c r="C62" s="10"/>
      <c r="D62" s="10"/>
      <c r="E62" s="11"/>
      <c r="F62" s="10"/>
      <c r="G62" s="28"/>
    </row>
    <row r="63" spans="1:8" x14ac:dyDescent="0.25">
      <c r="A63" s="14"/>
      <c r="E63" s="11"/>
      <c r="F63" s="10"/>
      <c r="G63" s="28"/>
    </row>
    <row r="64" spans="1:8" x14ac:dyDescent="0.25">
      <c r="A64" s="16"/>
      <c r="B64" s="11"/>
      <c r="C64" s="11"/>
      <c r="D64" s="11"/>
      <c r="E64" s="11"/>
      <c r="G64" s="28"/>
    </row>
    <row r="65" spans="1:7" x14ac:dyDescent="0.25">
      <c r="A65" s="16"/>
      <c r="B65" s="11"/>
      <c r="C65" s="11"/>
      <c r="D65" s="11"/>
      <c r="E65" s="11"/>
      <c r="G65" s="28"/>
    </row>
    <row r="66" spans="1:7" x14ac:dyDescent="0.25">
      <c r="A66" s="14"/>
      <c r="E66" s="11"/>
      <c r="F66" s="10"/>
      <c r="G66" s="28"/>
    </row>
    <row r="67" spans="1:7" x14ac:dyDescent="0.25">
      <c r="A67" s="14"/>
      <c r="E67" s="11"/>
      <c r="F67" s="10"/>
      <c r="G67" s="28"/>
    </row>
    <row r="68" spans="1:7" x14ac:dyDescent="0.25">
      <c r="A68" s="16"/>
      <c r="B68" s="11"/>
      <c r="C68" s="11"/>
      <c r="D68" s="11"/>
      <c r="E68" s="11"/>
      <c r="F68" s="10"/>
      <c r="G68" s="28"/>
    </row>
    <row r="69" spans="1:7" x14ac:dyDescent="0.25">
      <c r="A69" s="16"/>
      <c r="B69" s="11"/>
      <c r="C69" s="11"/>
      <c r="D69" s="11"/>
      <c r="E69" s="11"/>
      <c r="F69" s="10"/>
      <c r="G69" s="28"/>
    </row>
    <row r="70" spans="1:7" x14ac:dyDescent="0.25">
      <c r="A70" s="12"/>
      <c r="B70" s="10"/>
      <c r="C70" s="10"/>
      <c r="D70" s="10"/>
      <c r="E70" s="11"/>
      <c r="G70" s="28"/>
    </row>
    <row r="71" spans="1:7" x14ac:dyDescent="0.25">
      <c r="A71" s="16"/>
      <c r="B71" s="11"/>
      <c r="C71" s="11"/>
      <c r="D71" s="11"/>
      <c r="E71" s="11"/>
      <c r="G71" s="28"/>
    </row>
  </sheetData>
  <mergeCells count="1">
    <mergeCell ref="A2:E2"/>
  </mergeCells>
  <dataValidations count="3">
    <dataValidation type="list" allowBlank="1" showInputMessage="1" showErrorMessage="1" sqref="E56:E71 F66:F69 F15:F63" xr:uid="{8F799990-F97F-49AF-8DD4-AF3599697C41}">
      <formula1>"Seed, Early Venture, Late Venture, Growth Equity"</formula1>
    </dataValidation>
    <dataValidation type="list" allowBlank="1" showInputMessage="1" showErrorMessage="1" sqref="G50 G43 G52 G17:G36" xr:uid="{386FFA1B-6069-464B-90E6-712FB4CFFD65}">
      <formula1>"Seed, Early Stage, Late Stage, Growth Equity"</formula1>
    </dataValidation>
    <dataValidation type="list" allowBlank="1" showInputMessage="1" showErrorMessage="1" sqref="B21:B55" xr:uid="{6CC36008-89D4-43FA-9A4A-CFBB30B51529}">
      <formula1>$A$1:$A$4</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9A090-DCEA-4AE8-B85E-2F55D8C69B66}">
  <sheetPr codeName="Sheet8"/>
  <dimension ref="A1:H77"/>
  <sheetViews>
    <sheetView workbookViewId="0">
      <selection activeCell="D15" sqref="D15"/>
    </sheetView>
  </sheetViews>
  <sheetFormatPr defaultRowHeight="15" x14ac:dyDescent="0.25"/>
  <cols>
    <col min="1" max="1" width="27.140625" customWidth="1"/>
    <col min="2" max="2" width="21.85546875" customWidth="1"/>
    <col min="3" max="3" width="24.7109375" customWidth="1"/>
    <col min="4" max="4" width="26.85546875" customWidth="1"/>
    <col min="5" max="5" width="33" customWidth="1"/>
    <col min="6" max="6" width="14.42578125" customWidth="1"/>
    <col min="7" max="7" width="20.7109375" customWidth="1"/>
    <col min="8" max="8" width="13.7109375" customWidth="1"/>
  </cols>
  <sheetData>
    <row r="1" spans="1:8" ht="20.100000000000001" customHeight="1" x14ac:dyDescent="0.25">
      <c r="A1" s="1" t="s">
        <v>200</v>
      </c>
      <c r="B1" s="1"/>
      <c r="C1" s="1"/>
      <c r="D1" s="1"/>
      <c r="E1" s="1"/>
    </row>
    <row r="2" spans="1:8" ht="46.5" customHeight="1" x14ac:dyDescent="0.25">
      <c r="A2" s="239" t="s">
        <v>85</v>
      </c>
      <c r="B2" s="239"/>
      <c r="C2" s="239"/>
      <c r="D2" s="239"/>
      <c r="E2" s="239"/>
    </row>
    <row r="3" spans="1:8" ht="14.1" customHeight="1" x14ac:dyDescent="0.25">
      <c r="A3" s="134"/>
      <c r="B3" s="134"/>
      <c r="C3" s="134"/>
      <c r="D3" s="134"/>
      <c r="E3" s="134"/>
    </row>
    <row r="4" spans="1:8" ht="20.100000000000001" customHeight="1" x14ac:dyDescent="0.25">
      <c r="A4" s="58" t="s">
        <v>114</v>
      </c>
      <c r="B4" s="184" t="s">
        <v>115</v>
      </c>
      <c r="C4" s="184" t="s">
        <v>109</v>
      </c>
      <c r="D4" s="184" t="s">
        <v>106</v>
      </c>
      <c r="E4" s="151" t="s">
        <v>111</v>
      </c>
    </row>
    <row r="5" spans="1:8" ht="20.100000000000001" customHeight="1" x14ac:dyDescent="0.25">
      <c r="A5" s="120" t="s">
        <v>20</v>
      </c>
      <c r="B5" s="19">
        <v>1</v>
      </c>
      <c r="C5" s="176">
        <v>2.4390243902439025E-2</v>
      </c>
      <c r="D5" s="177">
        <v>10</v>
      </c>
      <c r="E5" s="178">
        <v>1.2171372930866601E-2</v>
      </c>
      <c r="G5" s="63"/>
    </row>
    <row r="6" spans="1:8" ht="20.100000000000001" customHeight="1" x14ac:dyDescent="0.25">
      <c r="A6" s="120" t="s">
        <v>95</v>
      </c>
      <c r="B6" s="19">
        <v>32</v>
      </c>
      <c r="C6" s="176">
        <v>0.78048780487804881</v>
      </c>
      <c r="D6" s="177">
        <v>663.6</v>
      </c>
      <c r="E6" s="178">
        <v>0.80769230769230771</v>
      </c>
      <c r="G6" s="63"/>
    </row>
    <row r="7" spans="1:8" ht="20.100000000000001" customHeight="1" x14ac:dyDescent="0.25">
      <c r="A7" s="120" t="s">
        <v>2</v>
      </c>
      <c r="B7" s="19">
        <v>8</v>
      </c>
      <c r="C7" s="176">
        <v>0.1951219512195122</v>
      </c>
      <c r="D7" s="177">
        <v>148</v>
      </c>
      <c r="E7" s="178">
        <v>0.1801363193768257</v>
      </c>
      <c r="G7" s="63"/>
    </row>
    <row r="8" spans="1:8" ht="20.100000000000001" customHeight="1" x14ac:dyDescent="0.25">
      <c r="A8" s="61" t="s">
        <v>0</v>
      </c>
      <c r="B8" s="180">
        <f>SUM(B5:B7)</f>
        <v>41</v>
      </c>
      <c r="C8" s="181">
        <f>SUM(C5:C7)</f>
        <v>1</v>
      </c>
      <c r="D8" s="182">
        <f>SUM(D5:D7)</f>
        <v>821.6</v>
      </c>
      <c r="E8" s="183">
        <f>SUM(E5:E7)</f>
        <v>1</v>
      </c>
    </row>
    <row r="9" spans="1:8" ht="20.100000000000001" customHeight="1" x14ac:dyDescent="0.25"/>
    <row r="11" spans="1:8" x14ac:dyDescent="0.25">
      <c r="G11" s="10"/>
      <c r="H11" s="13"/>
    </row>
    <row r="12" spans="1:8" x14ac:dyDescent="0.25">
      <c r="H12" s="15"/>
    </row>
    <row r="13" spans="1:8" x14ac:dyDescent="0.25">
      <c r="D13" t="s">
        <v>34</v>
      </c>
      <c r="H13" s="15"/>
    </row>
    <row r="14" spans="1:8" x14ac:dyDescent="0.25">
      <c r="G14" s="27"/>
      <c r="H14" s="17"/>
    </row>
    <row r="15" spans="1:8" x14ac:dyDescent="0.25">
      <c r="G15" s="27"/>
      <c r="H15" s="13"/>
    </row>
    <row r="16" spans="1:8" x14ac:dyDescent="0.25">
      <c r="G16" s="27"/>
      <c r="H16" s="15"/>
    </row>
    <row r="17" spans="1:8" x14ac:dyDescent="0.25">
      <c r="G17" s="27"/>
      <c r="H17" s="15"/>
    </row>
    <row r="18" spans="1:8" x14ac:dyDescent="0.25">
      <c r="G18" s="27"/>
      <c r="H18" s="17"/>
    </row>
    <row r="19" spans="1:8" x14ac:dyDescent="0.25">
      <c r="G19" s="27"/>
      <c r="H19" s="13"/>
    </row>
    <row r="20" spans="1:8" x14ac:dyDescent="0.25">
      <c r="G20" s="27"/>
      <c r="H20" s="15"/>
    </row>
    <row r="21" spans="1:8" x14ac:dyDescent="0.25">
      <c r="A21" s="12"/>
      <c r="B21" s="10"/>
      <c r="C21" s="10"/>
      <c r="D21" s="10"/>
      <c r="E21" s="10"/>
      <c r="F21" s="10"/>
      <c r="G21" s="27"/>
      <c r="H21" s="15"/>
    </row>
    <row r="22" spans="1:8" x14ac:dyDescent="0.25">
      <c r="A22" s="14"/>
      <c r="G22" s="27"/>
      <c r="H22" s="17"/>
    </row>
    <row r="23" spans="1:8" x14ac:dyDescent="0.25">
      <c r="A23" s="14"/>
      <c r="D23" s="15"/>
      <c r="E23" s="15"/>
      <c r="F23" s="15"/>
      <c r="G23" s="27"/>
      <c r="H23" s="13"/>
    </row>
    <row r="24" spans="1:8" x14ac:dyDescent="0.25">
      <c r="A24" s="16"/>
      <c r="B24" s="11"/>
      <c r="C24" s="11"/>
      <c r="D24" s="11"/>
      <c r="E24" s="11"/>
      <c r="F24" s="11"/>
      <c r="G24" s="27"/>
      <c r="H24" s="15"/>
    </row>
    <row r="25" spans="1:8" x14ac:dyDescent="0.25">
      <c r="A25" s="12"/>
      <c r="B25" s="10"/>
      <c r="C25" s="10"/>
      <c r="D25" s="10"/>
      <c r="E25" s="10"/>
      <c r="F25" s="10"/>
      <c r="G25" s="27"/>
      <c r="H25" s="17"/>
    </row>
    <row r="26" spans="1:8" x14ac:dyDescent="0.25">
      <c r="A26" s="14"/>
      <c r="D26" s="15"/>
      <c r="G26" s="27"/>
      <c r="H26" s="15"/>
    </row>
    <row r="27" spans="1:8" x14ac:dyDescent="0.25">
      <c r="A27" s="16"/>
      <c r="B27" s="11"/>
      <c r="C27" s="11"/>
      <c r="D27" s="11"/>
      <c r="E27" s="11"/>
      <c r="F27" s="11"/>
      <c r="G27" s="27"/>
      <c r="H27" s="15"/>
    </row>
    <row r="28" spans="1:8" x14ac:dyDescent="0.25">
      <c r="A28" s="14"/>
      <c r="G28" s="27"/>
      <c r="H28" s="17"/>
    </row>
    <row r="29" spans="1:8" x14ac:dyDescent="0.25">
      <c r="A29" s="14"/>
      <c r="G29" s="27"/>
      <c r="H29" s="13"/>
    </row>
    <row r="30" spans="1:8" x14ac:dyDescent="0.25">
      <c r="A30" s="16"/>
      <c r="B30" s="11"/>
      <c r="C30" s="11"/>
      <c r="D30" s="11"/>
      <c r="E30" s="11"/>
      <c r="F30" s="11"/>
      <c r="G30" s="27"/>
      <c r="H30" s="15"/>
    </row>
    <row r="31" spans="1:8" x14ac:dyDescent="0.25">
      <c r="A31" s="12"/>
      <c r="B31" s="10"/>
      <c r="C31" s="10"/>
      <c r="D31" s="10"/>
      <c r="E31" s="10"/>
      <c r="F31" s="10"/>
      <c r="G31" s="27"/>
      <c r="H31" s="15"/>
    </row>
    <row r="32" spans="1:8" x14ac:dyDescent="0.25">
      <c r="A32" s="14"/>
      <c r="G32" s="27"/>
      <c r="H32" s="17"/>
    </row>
    <row r="33" spans="1:8" x14ac:dyDescent="0.25">
      <c r="A33" s="14"/>
      <c r="G33" s="27"/>
      <c r="H33" s="13"/>
    </row>
    <row r="34" spans="1:8" x14ac:dyDescent="0.25">
      <c r="A34" s="16"/>
      <c r="B34" s="11"/>
      <c r="C34" s="11"/>
      <c r="D34" s="11"/>
      <c r="E34" s="11"/>
      <c r="F34" s="11"/>
      <c r="G34" s="27"/>
      <c r="H34" s="15"/>
    </row>
    <row r="35" spans="1:8" x14ac:dyDescent="0.25">
      <c r="A35" s="12"/>
      <c r="B35" s="10"/>
      <c r="C35" s="10"/>
      <c r="D35" s="10"/>
      <c r="E35" s="10"/>
      <c r="F35" s="10"/>
      <c r="G35" s="27"/>
      <c r="H35" s="13"/>
    </row>
    <row r="36" spans="1:8" x14ac:dyDescent="0.25">
      <c r="A36" s="14"/>
      <c r="G36" s="27"/>
      <c r="H36" s="15"/>
    </row>
    <row r="37" spans="1:8" x14ac:dyDescent="0.25">
      <c r="A37" s="12"/>
      <c r="B37" s="10"/>
      <c r="C37" s="10"/>
      <c r="D37" s="10"/>
      <c r="E37" s="10"/>
      <c r="F37" s="10"/>
      <c r="G37" s="27"/>
      <c r="H37" s="15"/>
    </row>
    <row r="38" spans="1:8" x14ac:dyDescent="0.25">
      <c r="A38" s="14"/>
      <c r="G38" s="27"/>
      <c r="H38" s="13"/>
    </row>
    <row r="39" spans="1:8" x14ac:dyDescent="0.25">
      <c r="A39" s="14"/>
      <c r="G39" s="27"/>
      <c r="H39" s="13"/>
    </row>
    <row r="40" spans="1:8" x14ac:dyDescent="0.25">
      <c r="A40" s="12"/>
      <c r="B40" s="10"/>
      <c r="C40" s="10"/>
      <c r="D40" s="10"/>
      <c r="E40" s="10"/>
      <c r="F40" s="10"/>
      <c r="G40" s="27"/>
      <c r="H40" s="15"/>
    </row>
    <row r="41" spans="1:8" x14ac:dyDescent="0.25">
      <c r="A41" s="12"/>
      <c r="B41" s="10"/>
      <c r="C41" s="10"/>
      <c r="D41" s="10"/>
      <c r="E41" s="10"/>
      <c r="F41" s="10"/>
      <c r="G41" s="27"/>
      <c r="H41" s="15"/>
    </row>
    <row r="42" spans="1:8" x14ac:dyDescent="0.25">
      <c r="A42" s="14"/>
      <c r="G42" s="27"/>
      <c r="H42" s="13"/>
    </row>
    <row r="43" spans="1:8" x14ac:dyDescent="0.25">
      <c r="A43" s="14"/>
      <c r="G43" s="27"/>
      <c r="H43" s="15"/>
    </row>
    <row r="44" spans="1:8" x14ac:dyDescent="0.25">
      <c r="A44" s="12"/>
      <c r="B44" s="10"/>
      <c r="C44" s="10"/>
      <c r="D44" s="10"/>
      <c r="E44" s="10"/>
      <c r="F44" s="10"/>
      <c r="G44" s="27"/>
      <c r="H44" s="15"/>
    </row>
    <row r="45" spans="1:8" x14ac:dyDescent="0.25">
      <c r="A45" s="14"/>
      <c r="G45" s="27"/>
      <c r="H45" s="15"/>
    </row>
    <row r="46" spans="1:8" x14ac:dyDescent="0.25">
      <c r="A46" s="14"/>
      <c r="G46" s="27"/>
      <c r="H46" s="15"/>
    </row>
    <row r="47" spans="1:8" x14ac:dyDescent="0.25">
      <c r="A47" s="14"/>
      <c r="G47" s="27"/>
      <c r="H47" s="17"/>
    </row>
    <row r="48" spans="1:8" x14ac:dyDescent="0.25">
      <c r="A48" s="14"/>
      <c r="G48" s="27"/>
      <c r="H48" s="13"/>
    </row>
    <row r="49" spans="1:8" x14ac:dyDescent="0.25">
      <c r="A49" s="16"/>
      <c r="B49" s="11"/>
      <c r="C49" s="11"/>
      <c r="D49" s="11"/>
      <c r="E49" s="11"/>
      <c r="F49" s="11"/>
      <c r="G49" s="27"/>
      <c r="H49" s="13"/>
    </row>
    <row r="50" spans="1:8" x14ac:dyDescent="0.25">
      <c r="A50" s="12"/>
      <c r="B50" s="10"/>
      <c r="C50" s="10"/>
      <c r="D50" s="10"/>
      <c r="E50" s="10"/>
      <c r="F50" s="10"/>
      <c r="G50" s="27"/>
      <c r="H50" s="15"/>
    </row>
    <row r="51" spans="1:8" x14ac:dyDescent="0.25">
      <c r="A51" s="12"/>
      <c r="B51" s="10"/>
      <c r="C51" s="10"/>
      <c r="D51" s="10"/>
      <c r="E51" s="10"/>
      <c r="F51" s="10"/>
      <c r="G51" s="27"/>
      <c r="H51" s="17"/>
    </row>
    <row r="52" spans="1:8" x14ac:dyDescent="0.25">
      <c r="A52" s="14"/>
      <c r="G52" s="27"/>
      <c r="H52" s="17"/>
    </row>
    <row r="53" spans="1:8" x14ac:dyDescent="0.25">
      <c r="A53" s="16"/>
      <c r="B53" s="11"/>
      <c r="C53" s="11"/>
      <c r="D53" s="11"/>
      <c r="E53" s="11"/>
      <c r="F53" s="11"/>
      <c r="G53" s="27"/>
      <c r="H53" s="15"/>
    </row>
    <row r="54" spans="1:8" x14ac:dyDescent="0.25">
      <c r="A54" s="16"/>
      <c r="B54" s="11"/>
      <c r="C54" s="11"/>
      <c r="D54" s="11"/>
      <c r="E54" s="11"/>
      <c r="F54" s="11"/>
      <c r="G54" s="27"/>
      <c r="H54" s="15"/>
    </row>
    <row r="55" spans="1:8" x14ac:dyDescent="0.25">
      <c r="A55" s="14"/>
      <c r="G55" s="27"/>
      <c r="H55" s="17"/>
    </row>
    <row r="56" spans="1:8" x14ac:dyDescent="0.25">
      <c r="A56" s="14"/>
      <c r="G56" s="27"/>
      <c r="H56" s="17"/>
    </row>
    <row r="57" spans="1:8" x14ac:dyDescent="0.25">
      <c r="A57" s="16"/>
      <c r="B57" s="11"/>
      <c r="C57" s="11"/>
      <c r="D57" s="11"/>
      <c r="E57" s="11"/>
      <c r="F57" s="11"/>
      <c r="G57" s="27"/>
      <c r="H57" s="13"/>
    </row>
    <row r="58" spans="1:8" x14ac:dyDescent="0.25">
      <c r="A58" s="16"/>
      <c r="B58" s="11"/>
      <c r="C58" s="11"/>
      <c r="D58" s="11"/>
      <c r="E58" s="11"/>
      <c r="F58" s="11"/>
      <c r="G58" s="27"/>
      <c r="H58" s="17"/>
    </row>
    <row r="59" spans="1:8" x14ac:dyDescent="0.25">
      <c r="A59" s="12"/>
      <c r="B59" s="10"/>
      <c r="C59" s="10"/>
      <c r="D59" s="10"/>
      <c r="E59" s="10"/>
      <c r="F59" s="10"/>
      <c r="G59" s="27"/>
      <c r="H59" s="13"/>
    </row>
    <row r="60" spans="1:8" x14ac:dyDescent="0.25">
      <c r="A60" s="16"/>
      <c r="B60" s="11"/>
      <c r="C60" s="11"/>
      <c r="D60" s="11"/>
      <c r="E60" s="11"/>
      <c r="F60" s="10"/>
      <c r="G60" s="27"/>
    </row>
    <row r="61" spans="1:8" x14ac:dyDescent="0.25">
      <c r="A61" s="12"/>
      <c r="B61" s="10"/>
      <c r="C61" s="10"/>
      <c r="D61" s="10"/>
      <c r="E61" s="10"/>
      <c r="F61" s="10"/>
      <c r="G61" s="27"/>
    </row>
    <row r="62" spans="1:8" x14ac:dyDescent="0.25">
      <c r="A62" s="14"/>
      <c r="E62" s="11"/>
      <c r="F62" s="10"/>
      <c r="G62" s="27"/>
    </row>
    <row r="63" spans="1:8" x14ac:dyDescent="0.25">
      <c r="A63" s="14"/>
      <c r="E63" s="11"/>
      <c r="F63" s="10"/>
      <c r="G63" s="28"/>
    </row>
    <row r="64" spans="1:8" x14ac:dyDescent="0.25">
      <c r="A64" s="14"/>
      <c r="E64" s="11"/>
      <c r="F64" s="10"/>
      <c r="G64" s="28"/>
    </row>
    <row r="65" spans="1:7" x14ac:dyDescent="0.25">
      <c r="A65" s="14"/>
      <c r="E65" s="11"/>
      <c r="F65" s="10"/>
      <c r="G65" s="28"/>
    </row>
    <row r="66" spans="1:7" x14ac:dyDescent="0.25">
      <c r="A66" s="16"/>
      <c r="B66" s="11"/>
      <c r="C66" s="11"/>
      <c r="D66" s="11"/>
      <c r="E66" s="11"/>
      <c r="F66" s="10"/>
      <c r="G66" s="28"/>
    </row>
    <row r="67" spans="1:7" x14ac:dyDescent="0.25">
      <c r="A67" s="12"/>
      <c r="B67" s="10"/>
      <c r="C67" s="10"/>
      <c r="D67" s="10"/>
      <c r="E67" s="11"/>
      <c r="F67" s="10"/>
      <c r="G67" s="28"/>
    </row>
    <row r="68" spans="1:7" x14ac:dyDescent="0.25">
      <c r="A68" s="12"/>
      <c r="B68" s="10"/>
      <c r="C68" s="10"/>
      <c r="D68" s="10"/>
      <c r="E68" s="11"/>
      <c r="F68" s="10"/>
      <c r="G68" s="28"/>
    </row>
    <row r="69" spans="1:7" x14ac:dyDescent="0.25">
      <c r="A69" s="14"/>
      <c r="E69" s="11"/>
      <c r="F69" s="10"/>
      <c r="G69" s="28"/>
    </row>
    <row r="70" spans="1:7" x14ac:dyDescent="0.25">
      <c r="A70" s="16"/>
      <c r="B70" s="11"/>
      <c r="C70" s="11"/>
      <c r="D70" s="11"/>
      <c r="E70" s="11"/>
      <c r="G70" s="28"/>
    </row>
    <row r="71" spans="1:7" x14ac:dyDescent="0.25">
      <c r="A71" s="16"/>
      <c r="B71" s="11"/>
      <c r="C71" s="11"/>
      <c r="D71" s="11"/>
      <c r="E71" s="11"/>
      <c r="G71" s="28"/>
    </row>
    <row r="72" spans="1:7" x14ac:dyDescent="0.25">
      <c r="A72" s="14"/>
      <c r="E72" s="11"/>
      <c r="F72" s="10"/>
      <c r="G72" s="28"/>
    </row>
    <row r="73" spans="1:7" x14ac:dyDescent="0.25">
      <c r="A73" s="14"/>
      <c r="E73" s="11"/>
      <c r="F73" s="10"/>
      <c r="G73" s="28"/>
    </row>
    <row r="74" spans="1:7" x14ac:dyDescent="0.25">
      <c r="A74" s="16"/>
      <c r="B74" s="11"/>
      <c r="C74" s="11"/>
      <c r="D74" s="11"/>
      <c r="E74" s="11"/>
      <c r="F74" s="10"/>
      <c r="G74" s="28"/>
    </row>
    <row r="75" spans="1:7" x14ac:dyDescent="0.25">
      <c r="A75" s="16"/>
      <c r="B75" s="11"/>
      <c r="C75" s="11"/>
      <c r="D75" s="11"/>
      <c r="E75" s="11"/>
      <c r="F75" s="10"/>
      <c r="G75" s="28"/>
    </row>
    <row r="76" spans="1:7" x14ac:dyDescent="0.25">
      <c r="A76" s="12"/>
      <c r="B76" s="10"/>
      <c r="C76" s="10"/>
      <c r="D76" s="10"/>
      <c r="E76" s="11"/>
      <c r="G76" s="28"/>
    </row>
    <row r="77" spans="1:7" x14ac:dyDescent="0.25">
      <c r="A77" s="16"/>
      <c r="B77" s="11"/>
      <c r="C77" s="11"/>
      <c r="D77" s="11"/>
      <c r="E77" s="11"/>
      <c r="G77" s="28"/>
    </row>
  </sheetData>
  <mergeCells count="1">
    <mergeCell ref="A2:E2"/>
  </mergeCells>
  <dataValidations count="3">
    <dataValidation type="list" allowBlank="1" showInputMessage="1" showErrorMessage="1" sqref="B21:B61" xr:uid="{228B57BC-AAC8-41D9-A255-80C9A2F59F69}">
      <formula1>$A$1:$A$3</formula1>
    </dataValidation>
    <dataValidation type="list" allowBlank="1" showInputMessage="1" showErrorMessage="1" sqref="G56 G49 G58 G11:G42" xr:uid="{8F4C9AC0-E641-46E1-B140-7C9B6ABB1974}">
      <formula1>"Seed, Early Stage, Late Stage, Growth Equity"</formula1>
    </dataValidation>
    <dataValidation type="list" allowBlank="1" showInputMessage="1" showErrorMessage="1" sqref="E62:E77 F72:F75 F21:F69" xr:uid="{CF2E0A50-5DFD-4FB0-85C8-A6A79343C46B}">
      <formula1>"Seed, Early Venture, Late Venture, Growth Equity"</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5AFE9-5B60-43B3-A805-91F314D71D1C}">
  <sheetPr codeName="Sheet9"/>
  <dimension ref="A1:K14"/>
  <sheetViews>
    <sheetView workbookViewId="0">
      <selection activeCell="B16" sqref="B16"/>
    </sheetView>
  </sheetViews>
  <sheetFormatPr defaultRowHeight="15" x14ac:dyDescent="0.25"/>
  <cols>
    <col min="1" max="1" width="19.28515625" customWidth="1"/>
    <col min="2" max="2" width="20" bestFit="1" customWidth="1"/>
    <col min="3" max="3" width="15.140625" bestFit="1" customWidth="1"/>
    <col min="4" max="4" width="14.28515625" customWidth="1"/>
    <col min="5" max="5" width="15.7109375" bestFit="1" customWidth="1"/>
    <col min="6" max="6" width="20.5703125" customWidth="1"/>
    <col min="7" max="7" width="15.85546875" bestFit="1" customWidth="1"/>
    <col min="8" max="8" width="15.28515625" bestFit="1" customWidth="1"/>
    <col min="9" max="9" width="17" bestFit="1" customWidth="1"/>
  </cols>
  <sheetData>
    <row r="1" spans="1:11" ht="15.75" x14ac:dyDescent="0.25">
      <c r="A1" s="56" t="s">
        <v>198</v>
      </c>
      <c r="B1" s="56"/>
      <c r="C1" s="56"/>
      <c r="D1" s="56"/>
      <c r="E1" s="56"/>
      <c r="F1" s="56"/>
      <c r="G1" s="56"/>
      <c r="H1" s="56"/>
      <c r="I1" s="56"/>
      <c r="J1" s="56"/>
      <c r="K1" s="56"/>
    </row>
    <row r="2" spans="1:11" ht="120.6" customHeight="1" x14ac:dyDescent="0.25">
      <c r="A2" s="239" t="s">
        <v>132</v>
      </c>
      <c r="B2" s="239"/>
      <c r="C2" s="239"/>
      <c r="D2" s="239"/>
      <c r="E2" s="239"/>
      <c r="F2" s="239"/>
      <c r="G2" s="239"/>
      <c r="H2" s="239"/>
      <c r="I2" s="56"/>
      <c r="J2" s="56"/>
      <c r="K2" s="56"/>
    </row>
    <row r="3" spans="1:11" ht="11.1" customHeight="1" x14ac:dyDescent="0.25">
      <c r="A3" s="134"/>
      <c r="B3" s="134"/>
      <c r="C3" s="134"/>
      <c r="D3" s="134"/>
      <c r="E3" s="134"/>
      <c r="F3" s="134"/>
      <c r="G3" s="134"/>
      <c r="H3" s="134"/>
      <c r="I3" s="56"/>
      <c r="J3" s="56"/>
      <c r="K3" s="56"/>
    </row>
    <row r="4" spans="1:11" ht="47.25" x14ac:dyDescent="0.25">
      <c r="A4" s="58" t="s">
        <v>116</v>
      </c>
      <c r="B4" s="185" t="s">
        <v>117</v>
      </c>
      <c r="C4" s="185" t="s">
        <v>118</v>
      </c>
      <c r="D4" s="185" t="s">
        <v>119</v>
      </c>
      <c r="E4" s="185" t="s">
        <v>120</v>
      </c>
      <c r="F4" s="185" t="s">
        <v>121</v>
      </c>
      <c r="G4" s="185" t="s">
        <v>122</v>
      </c>
      <c r="H4" s="186" t="s">
        <v>123</v>
      </c>
      <c r="I4" s="186" t="s">
        <v>190</v>
      </c>
    </row>
    <row r="5" spans="1:11" ht="15.75" x14ac:dyDescent="0.25">
      <c r="A5" s="124" t="s">
        <v>86</v>
      </c>
      <c r="B5" s="187">
        <v>1176250000</v>
      </c>
      <c r="C5" s="188">
        <v>957355000</v>
      </c>
      <c r="D5" s="189">
        <v>0.81390435706695008</v>
      </c>
      <c r="E5" s="190">
        <v>176091000</v>
      </c>
      <c r="F5" s="190">
        <v>1098542000</v>
      </c>
      <c r="G5" s="190">
        <f>F5+E5</f>
        <v>1274633000</v>
      </c>
      <c r="H5" s="191">
        <f>(F5+E5)/C5</f>
        <v>1.3314110230792131</v>
      </c>
      <c r="I5" s="192">
        <v>0.1011</v>
      </c>
    </row>
    <row r="9" spans="1:11" x14ac:dyDescent="0.25">
      <c r="A9" s="53"/>
    </row>
    <row r="10" spans="1:11" x14ac:dyDescent="0.25">
      <c r="A10" s="53"/>
      <c r="D10" t="s">
        <v>34</v>
      </c>
    </row>
    <row r="13" spans="1:11" x14ac:dyDescent="0.25">
      <c r="B13" s="53"/>
    </row>
    <row r="14" spans="1:11" x14ac:dyDescent="0.25">
      <c r="B14" s="53"/>
    </row>
  </sheetData>
  <mergeCells count="1">
    <mergeCell ref="A2:H2"/>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D61AA-E893-4AE0-A6CD-D09ACD19C173}">
  <sheetPr codeName="Sheet10"/>
  <dimension ref="A1:H14"/>
  <sheetViews>
    <sheetView workbookViewId="0">
      <selection activeCell="D16" sqref="D16"/>
    </sheetView>
  </sheetViews>
  <sheetFormatPr defaultRowHeight="15" x14ac:dyDescent="0.25"/>
  <cols>
    <col min="1" max="1" width="44.42578125" customWidth="1"/>
    <col min="2" max="2" width="28.85546875" bestFit="1" customWidth="1"/>
  </cols>
  <sheetData>
    <row r="1" spans="1:8" ht="20.100000000000001" customHeight="1" x14ac:dyDescent="0.25">
      <c r="A1" s="1" t="s">
        <v>197</v>
      </c>
      <c r="B1" s="1"/>
    </row>
    <row r="2" spans="1:8" ht="96.95" customHeight="1" x14ac:dyDescent="0.25">
      <c r="A2" s="239" t="s">
        <v>87</v>
      </c>
      <c r="B2" s="239"/>
      <c r="C2" s="62"/>
      <c r="D2" s="62"/>
      <c r="E2" s="62"/>
      <c r="F2" s="62"/>
      <c r="G2" s="62"/>
      <c r="H2" s="62"/>
    </row>
    <row r="3" spans="1:8" ht="18.600000000000001" customHeight="1" x14ac:dyDescent="0.25">
      <c r="A3" s="134"/>
      <c r="B3" s="134"/>
      <c r="C3" s="62"/>
      <c r="D3" s="62"/>
      <c r="E3" s="62"/>
      <c r="F3" s="62"/>
      <c r="G3" s="62"/>
      <c r="H3" s="62"/>
    </row>
    <row r="4" spans="1:8" ht="20.100000000000001" customHeight="1" x14ac:dyDescent="0.25">
      <c r="A4" s="58" t="s">
        <v>21</v>
      </c>
      <c r="B4" s="151" t="s">
        <v>124</v>
      </c>
    </row>
    <row r="5" spans="1:8" ht="20.100000000000001" customHeight="1" x14ac:dyDescent="0.25">
      <c r="A5" s="120" t="s">
        <v>22</v>
      </c>
      <c r="B5" s="152">
        <v>17500000</v>
      </c>
    </row>
    <row r="6" spans="1:8" ht="20.100000000000001" customHeight="1" x14ac:dyDescent="0.25">
      <c r="A6" s="120" t="s">
        <v>23</v>
      </c>
      <c r="B6" s="152">
        <v>5000000</v>
      </c>
    </row>
    <row r="7" spans="1:8" ht="20.100000000000001" customHeight="1" x14ac:dyDescent="0.25">
      <c r="A7" s="120" t="s">
        <v>24</v>
      </c>
      <c r="B7" s="152">
        <v>10000000</v>
      </c>
    </row>
    <row r="8" spans="1:8" ht="20.100000000000001" customHeight="1" x14ac:dyDescent="0.25">
      <c r="A8" s="120" t="s">
        <v>25</v>
      </c>
      <c r="B8" s="152">
        <v>5000000</v>
      </c>
    </row>
    <row r="9" spans="1:8" ht="20.100000000000001" customHeight="1" x14ac:dyDescent="0.25">
      <c r="A9" s="120" t="s">
        <v>26</v>
      </c>
      <c r="B9" s="152">
        <v>5000000</v>
      </c>
    </row>
    <row r="10" spans="1:8" ht="20.100000000000001" customHeight="1" x14ac:dyDescent="0.25">
      <c r="A10" s="61" t="s">
        <v>0</v>
      </c>
      <c r="B10" s="193">
        <f>SUM(B5:B9)</f>
        <v>42500000</v>
      </c>
    </row>
    <row r="11" spans="1:8" x14ac:dyDescent="0.25">
      <c r="A11" s="53"/>
    </row>
    <row r="12" spans="1:8" x14ac:dyDescent="0.25">
      <c r="A12" s="53"/>
    </row>
    <row r="14" spans="1:8" x14ac:dyDescent="0.25">
      <c r="A14" t="s">
        <v>34</v>
      </c>
    </row>
  </sheetData>
  <mergeCells count="1">
    <mergeCell ref="A2:B2"/>
  </mergeCells>
  <phoneticPr fontId="10"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62F3E-D8A9-4F9C-BFDB-7FE1852C86B0}">
  <sheetPr codeName="Sheet11"/>
  <dimension ref="A1:E22"/>
  <sheetViews>
    <sheetView workbookViewId="0">
      <selection activeCell="G16" sqref="G16"/>
    </sheetView>
  </sheetViews>
  <sheetFormatPr defaultRowHeight="15" x14ac:dyDescent="0.25"/>
  <cols>
    <col min="1" max="1" width="28.140625" customWidth="1"/>
    <col min="2" max="2" width="18.85546875" bestFit="1" customWidth="1"/>
    <col min="3" max="3" width="22.5703125" bestFit="1" customWidth="1"/>
    <col min="4" max="4" width="26.5703125" bestFit="1" customWidth="1"/>
    <col min="5" max="5" width="30.85546875" bestFit="1" customWidth="1"/>
  </cols>
  <sheetData>
    <row r="1" spans="1:5" ht="20.100000000000001" customHeight="1" x14ac:dyDescent="0.25">
      <c r="A1" s="1" t="s">
        <v>206</v>
      </c>
      <c r="B1" s="1"/>
      <c r="C1" s="1"/>
      <c r="D1" s="1"/>
      <c r="E1" s="1"/>
    </row>
    <row r="2" spans="1:5" ht="56.45" customHeight="1" x14ac:dyDescent="0.25">
      <c r="A2" s="239" t="s">
        <v>88</v>
      </c>
      <c r="B2" s="239"/>
      <c r="C2" s="239"/>
      <c r="D2" s="239"/>
      <c r="E2" s="239"/>
    </row>
    <row r="3" spans="1:5" ht="12.6" customHeight="1" x14ac:dyDescent="0.25">
      <c r="A3" s="134"/>
      <c r="B3" s="134"/>
      <c r="C3" s="134"/>
      <c r="D3" s="134"/>
      <c r="E3" s="134"/>
    </row>
    <row r="4" spans="1:5" ht="20.100000000000001" customHeight="1" x14ac:dyDescent="0.25">
      <c r="A4" s="58" t="s">
        <v>112</v>
      </c>
      <c r="B4" s="184" t="s">
        <v>108</v>
      </c>
      <c r="C4" s="184" t="s">
        <v>113</v>
      </c>
      <c r="D4" s="184" t="s">
        <v>106</v>
      </c>
      <c r="E4" s="151" t="s">
        <v>111</v>
      </c>
    </row>
    <row r="5" spans="1:5" ht="20.100000000000001" customHeight="1" x14ac:dyDescent="0.25">
      <c r="A5" s="120" t="s">
        <v>16</v>
      </c>
      <c r="B5" s="19">
        <v>3</v>
      </c>
      <c r="C5" s="176">
        <v>0.6</v>
      </c>
      <c r="D5" s="31">
        <v>20</v>
      </c>
      <c r="E5" s="178">
        <v>0.47058823529411764</v>
      </c>
    </row>
    <row r="6" spans="1:5" ht="20.100000000000001" customHeight="1" x14ac:dyDescent="0.25">
      <c r="A6" s="120" t="s">
        <v>17</v>
      </c>
      <c r="B6" s="19">
        <v>2</v>
      </c>
      <c r="C6" s="176">
        <v>0.4</v>
      </c>
      <c r="D6" s="31">
        <v>22.5</v>
      </c>
      <c r="E6" s="178">
        <v>0.52941176470588236</v>
      </c>
    </row>
    <row r="7" spans="1:5" ht="20.100000000000001" customHeight="1" x14ac:dyDescent="0.25">
      <c r="A7" s="120" t="s">
        <v>18</v>
      </c>
      <c r="B7" s="19">
        <v>0</v>
      </c>
      <c r="C7" s="176">
        <v>0</v>
      </c>
      <c r="D7" s="31">
        <v>0</v>
      </c>
      <c r="E7" s="178">
        <v>0</v>
      </c>
    </row>
    <row r="8" spans="1:5" ht="20.100000000000001" customHeight="1" x14ac:dyDescent="0.25">
      <c r="A8" s="120" t="s">
        <v>19</v>
      </c>
      <c r="B8" s="19">
        <v>0</v>
      </c>
      <c r="C8" s="176">
        <v>0</v>
      </c>
      <c r="D8" s="31">
        <v>0</v>
      </c>
      <c r="E8" s="178">
        <v>0</v>
      </c>
    </row>
    <row r="9" spans="1:5" ht="20.100000000000001" customHeight="1" x14ac:dyDescent="0.25">
      <c r="A9" s="61" t="s">
        <v>0</v>
      </c>
      <c r="B9" s="180">
        <f>SUM(B5:B8)</f>
        <v>5</v>
      </c>
      <c r="C9" s="181">
        <f>SUM(C5:C8)</f>
        <v>1</v>
      </c>
      <c r="D9" s="194">
        <f>SUM(D5:D8)</f>
        <v>42.5</v>
      </c>
      <c r="E9" s="183">
        <f>SUM(E5:E8)</f>
        <v>1</v>
      </c>
    </row>
    <row r="10" spans="1:5" ht="20.100000000000001" customHeight="1" x14ac:dyDescent="0.25">
      <c r="A10" s="9"/>
    </row>
    <row r="11" spans="1:5" ht="20.100000000000001" customHeight="1" x14ac:dyDescent="0.25"/>
    <row r="12" spans="1:5" ht="20.100000000000001" customHeight="1" x14ac:dyDescent="0.25">
      <c r="A12" s="5"/>
      <c r="B12" s="5"/>
      <c r="C12" s="5"/>
      <c r="D12" s="5"/>
      <c r="E12" s="5"/>
    </row>
    <row r="13" spans="1:5" ht="20.100000000000001" customHeight="1" x14ac:dyDescent="0.25">
      <c r="A13" s="1"/>
      <c r="B13" s="241"/>
      <c r="C13" s="241"/>
      <c r="D13" s="1"/>
      <c r="E13" s="1"/>
    </row>
    <row r="14" spans="1:5" ht="20.100000000000001" customHeight="1" x14ac:dyDescent="0.25">
      <c r="A14" s="55"/>
      <c r="B14" s="54"/>
      <c r="C14" s="54"/>
      <c r="D14" s="54"/>
      <c r="E14" s="54" t="s">
        <v>34</v>
      </c>
    </row>
    <row r="15" spans="1:5" ht="20.100000000000001" customHeight="1" x14ac:dyDescent="0.25">
      <c r="A15" s="5"/>
      <c r="B15" s="23"/>
      <c r="C15" s="8"/>
      <c r="D15" s="31"/>
      <c r="E15" s="8"/>
    </row>
    <row r="16" spans="1:5" ht="20.100000000000001" customHeight="1" x14ac:dyDescent="0.25">
      <c r="A16" s="5"/>
      <c r="B16" s="23"/>
      <c r="C16" s="8"/>
      <c r="D16" s="31" t="s">
        <v>34</v>
      </c>
      <c r="E16" s="8"/>
    </row>
    <row r="17" spans="1:5" ht="20.100000000000001" customHeight="1" x14ac:dyDescent="0.25">
      <c r="A17" s="5"/>
      <c r="B17" s="23"/>
      <c r="C17" s="8"/>
      <c r="D17" s="31"/>
      <c r="E17" s="8"/>
    </row>
    <row r="18" spans="1:5" ht="20.100000000000001" customHeight="1" x14ac:dyDescent="0.25">
      <c r="A18" s="5"/>
      <c r="B18" s="23"/>
      <c r="C18" s="8"/>
      <c r="D18" s="31"/>
      <c r="E18" s="8"/>
    </row>
    <row r="19" spans="1:5" ht="15.75" x14ac:dyDescent="0.25">
      <c r="A19" s="5"/>
      <c r="B19" s="25"/>
      <c r="C19" s="24"/>
      <c r="D19" s="22"/>
      <c r="E19" s="24"/>
    </row>
    <row r="22" spans="1:5" x14ac:dyDescent="0.25">
      <c r="B22" t="s">
        <v>34</v>
      </c>
    </row>
  </sheetData>
  <mergeCells count="2">
    <mergeCell ref="B13:C13"/>
    <mergeCell ref="A2:E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3FF0E-C09C-4587-85D9-3F3C38074622}">
  <sheetPr codeName="Sheet13"/>
  <dimension ref="A1:E16"/>
  <sheetViews>
    <sheetView workbookViewId="0">
      <selection activeCell="E22" sqref="E22"/>
    </sheetView>
  </sheetViews>
  <sheetFormatPr defaultRowHeight="15" x14ac:dyDescent="0.25"/>
  <cols>
    <col min="1" max="1" width="26.85546875" customWidth="1"/>
    <col min="2" max="2" width="21.7109375" customWidth="1"/>
    <col min="3" max="3" width="24.5703125" customWidth="1"/>
    <col min="4" max="4" width="28.7109375" customWidth="1"/>
    <col min="5" max="5" width="31.42578125" customWidth="1"/>
  </cols>
  <sheetData>
    <row r="1" spans="1:5" ht="20.100000000000001" customHeight="1" x14ac:dyDescent="0.25">
      <c r="A1" s="1" t="s">
        <v>207</v>
      </c>
      <c r="B1" s="1"/>
      <c r="C1" s="1"/>
      <c r="D1" s="1"/>
      <c r="E1" s="1"/>
    </row>
    <row r="2" spans="1:5" ht="55.5" customHeight="1" x14ac:dyDescent="0.25">
      <c r="A2" s="239" t="s">
        <v>88</v>
      </c>
      <c r="B2" s="239"/>
      <c r="C2" s="239"/>
      <c r="D2" s="239"/>
      <c r="E2" s="239"/>
    </row>
    <row r="3" spans="1:5" ht="15.95" customHeight="1" x14ac:dyDescent="0.25">
      <c r="A3" s="134"/>
      <c r="B3" s="134"/>
      <c r="C3" s="134"/>
      <c r="D3" s="134"/>
      <c r="E3" s="134"/>
    </row>
    <row r="4" spans="1:5" ht="20.100000000000001" customHeight="1" x14ac:dyDescent="0.25">
      <c r="A4" s="61" t="s">
        <v>114</v>
      </c>
      <c r="B4" s="174" t="s">
        <v>115</v>
      </c>
      <c r="C4" s="174" t="s">
        <v>113</v>
      </c>
      <c r="D4" s="174" t="s">
        <v>106</v>
      </c>
      <c r="E4" s="175" t="s">
        <v>110</v>
      </c>
    </row>
    <row r="5" spans="1:5" ht="20.100000000000001" customHeight="1" x14ac:dyDescent="0.25">
      <c r="A5" s="123" t="s">
        <v>30</v>
      </c>
      <c r="B5" s="19">
        <v>0</v>
      </c>
      <c r="C5" s="176">
        <v>0</v>
      </c>
      <c r="D5" s="31">
        <v>0</v>
      </c>
      <c r="E5" s="178">
        <v>0</v>
      </c>
    </row>
    <row r="6" spans="1:5" ht="20.100000000000001" customHeight="1" x14ac:dyDescent="0.25">
      <c r="A6" s="123" t="s">
        <v>95</v>
      </c>
      <c r="B6" s="19">
        <v>5</v>
      </c>
      <c r="C6" s="176">
        <v>1</v>
      </c>
      <c r="D6" s="31">
        <v>42.5</v>
      </c>
      <c r="E6" s="178">
        <v>1</v>
      </c>
    </row>
    <row r="7" spans="1:5" ht="20.100000000000001" customHeight="1" x14ac:dyDescent="0.25">
      <c r="A7" s="123" t="s">
        <v>2</v>
      </c>
      <c r="B7" s="19">
        <v>0</v>
      </c>
      <c r="C7" s="176">
        <v>0</v>
      </c>
      <c r="D7" s="31">
        <v>0</v>
      </c>
      <c r="E7" s="178">
        <v>0</v>
      </c>
    </row>
    <row r="8" spans="1:5" ht="20.100000000000001" customHeight="1" x14ac:dyDescent="0.25">
      <c r="A8" s="58" t="s">
        <v>0</v>
      </c>
      <c r="B8" s="180">
        <v>5</v>
      </c>
      <c r="C8" s="181">
        <v>1</v>
      </c>
      <c r="D8" s="194">
        <v>42.5</v>
      </c>
      <c r="E8" s="183">
        <v>1</v>
      </c>
    </row>
    <row r="9" spans="1:5" ht="20.100000000000001" customHeight="1" x14ac:dyDescent="0.25">
      <c r="A9" s="9"/>
    </row>
    <row r="10" spans="1:5" ht="20.100000000000001" customHeight="1" x14ac:dyDescent="0.25">
      <c r="A10" s="1"/>
      <c r="B10" s="1"/>
      <c r="C10" s="1"/>
      <c r="D10" s="1"/>
      <c r="E10" s="1"/>
    </row>
    <row r="11" spans="1:5" ht="20.100000000000001" customHeight="1" x14ac:dyDescent="0.25">
      <c r="A11" s="1"/>
      <c r="B11" s="1"/>
      <c r="C11" s="1"/>
      <c r="D11" s="1"/>
      <c r="E11" s="1"/>
    </row>
    <row r="12" spans="1:5" ht="20.100000000000001" customHeight="1" x14ac:dyDescent="0.25">
      <c r="A12" s="55"/>
      <c r="B12" s="54"/>
      <c r="C12" s="54"/>
      <c r="D12" s="54"/>
      <c r="E12" s="54"/>
    </row>
    <row r="13" spans="1:5" ht="20.100000000000001" customHeight="1" x14ac:dyDescent="0.25">
      <c r="A13" s="1"/>
      <c r="B13" s="23"/>
      <c r="C13" s="195"/>
      <c r="D13" s="196"/>
      <c r="E13" s="195"/>
    </row>
    <row r="14" spans="1:5" ht="20.100000000000001" customHeight="1" x14ac:dyDescent="0.25">
      <c r="A14" s="1"/>
      <c r="B14" s="23"/>
      <c r="C14" s="195"/>
      <c r="D14" s="196" t="s">
        <v>34</v>
      </c>
      <c r="E14" s="195"/>
    </row>
    <row r="15" spans="1:5" ht="15.75" x14ac:dyDescent="0.25">
      <c r="A15" s="1"/>
      <c r="B15" s="23"/>
      <c r="C15" s="195"/>
      <c r="D15" s="196"/>
      <c r="E15" s="195"/>
    </row>
    <row r="16" spans="1:5" ht="15.75" x14ac:dyDescent="0.25">
      <c r="A16" s="1"/>
      <c r="B16" s="25"/>
      <c r="C16" s="24"/>
      <c r="D16" s="22"/>
      <c r="E16" s="24"/>
    </row>
  </sheetData>
  <mergeCells count="1">
    <mergeCell ref="A2:E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342F9-B8DB-4302-A4C8-247412103712}">
  <sheetPr codeName="Sheet15"/>
  <dimension ref="A1:K16"/>
  <sheetViews>
    <sheetView workbookViewId="0">
      <selection activeCell="A16" sqref="A16"/>
    </sheetView>
  </sheetViews>
  <sheetFormatPr defaultColWidth="8.7109375" defaultRowHeight="15" x14ac:dyDescent="0.25"/>
  <cols>
    <col min="1" max="1" width="27.7109375" style="69" customWidth="1"/>
    <col min="2" max="2" width="18.7109375" style="69" customWidth="1"/>
    <col min="3" max="3" width="18.140625" style="69" customWidth="1"/>
    <col min="4" max="4" width="21.5703125" style="69" customWidth="1"/>
    <col min="5" max="5" width="22.140625" style="69" customWidth="1"/>
    <col min="6" max="6" width="16.140625" style="69" customWidth="1"/>
    <col min="7" max="7" width="16.85546875" style="69" customWidth="1"/>
    <col min="8" max="8" width="18.7109375" style="69" customWidth="1"/>
    <col min="9" max="16384" width="8.7109375" style="69"/>
  </cols>
  <sheetData>
    <row r="1" spans="1:11" ht="20.100000000000001" customHeight="1" x14ac:dyDescent="0.25">
      <c r="A1" s="56" t="s">
        <v>196</v>
      </c>
      <c r="B1" s="56"/>
      <c r="C1" s="56"/>
      <c r="D1" s="56"/>
      <c r="E1" s="56"/>
      <c r="F1" s="56"/>
      <c r="G1" s="56"/>
      <c r="H1" s="56"/>
      <c r="I1" s="56"/>
      <c r="J1" s="56"/>
      <c r="K1" s="56"/>
    </row>
    <row r="2" spans="1:11" ht="114" customHeight="1" x14ac:dyDescent="0.25">
      <c r="A2" s="240" t="s">
        <v>133</v>
      </c>
      <c r="B2" s="240"/>
      <c r="C2" s="240"/>
      <c r="D2" s="240"/>
      <c r="E2" s="240"/>
      <c r="F2" s="240"/>
      <c r="G2" s="240"/>
      <c r="H2" s="240"/>
      <c r="I2" s="56"/>
      <c r="J2" s="56"/>
      <c r="K2" s="56"/>
    </row>
    <row r="3" spans="1:11" ht="16.5" customHeight="1" x14ac:dyDescent="0.25">
      <c r="A3" s="137"/>
      <c r="B3" s="137"/>
      <c r="C3" s="137"/>
      <c r="D3" s="137"/>
      <c r="E3" s="137"/>
      <c r="F3" s="137"/>
      <c r="G3" s="137"/>
      <c r="H3" s="137"/>
      <c r="I3" s="56"/>
      <c r="J3" s="56"/>
      <c r="K3" s="56"/>
    </row>
    <row r="4" spans="1:11" ht="32.450000000000003" customHeight="1" x14ac:dyDescent="0.25">
      <c r="A4" s="121" t="s">
        <v>116</v>
      </c>
      <c r="B4" s="197" t="s">
        <v>125</v>
      </c>
      <c r="C4" s="197" t="s">
        <v>118</v>
      </c>
      <c r="D4" s="197" t="s">
        <v>119</v>
      </c>
      <c r="E4" s="197" t="s">
        <v>120</v>
      </c>
      <c r="F4" s="197" t="s">
        <v>126</v>
      </c>
      <c r="G4" s="197" t="s">
        <v>122</v>
      </c>
      <c r="H4" s="198" t="s">
        <v>123</v>
      </c>
      <c r="I4" s="125"/>
    </row>
    <row r="5" spans="1:11" ht="27" customHeight="1" x14ac:dyDescent="0.25">
      <c r="A5" s="199" t="s">
        <v>31</v>
      </c>
      <c r="B5" s="190">
        <v>42500000</v>
      </c>
      <c r="C5" s="188">
        <v>36563000</v>
      </c>
      <c r="D5" s="189">
        <f>C5/B5</f>
        <v>0.86030588235294114</v>
      </c>
      <c r="E5" s="190">
        <v>783000</v>
      </c>
      <c r="F5" s="190">
        <v>52276000</v>
      </c>
      <c r="G5" s="190">
        <f>F5+E5</f>
        <v>53059000</v>
      </c>
      <c r="H5" s="191">
        <f>G5/C5</f>
        <v>1.4511664797746355</v>
      </c>
    </row>
    <row r="6" spans="1:11" ht="20.100000000000001" customHeight="1" x14ac:dyDescent="0.25">
      <c r="A6" s="67"/>
      <c r="B6" s="126"/>
      <c r="C6" s="127"/>
      <c r="D6" s="67"/>
      <c r="E6" s="127"/>
    </row>
    <row r="7" spans="1:11" ht="20.100000000000001" customHeight="1" x14ac:dyDescent="0.25">
      <c r="A7" s="67"/>
      <c r="B7" s="126"/>
      <c r="C7" s="127"/>
      <c r="D7" s="67"/>
      <c r="E7" s="127"/>
    </row>
    <row r="8" spans="1:11" ht="20.100000000000001" customHeight="1" x14ac:dyDescent="0.25">
      <c r="A8" s="67"/>
      <c r="B8" s="126"/>
      <c r="C8" s="127"/>
      <c r="D8" s="200"/>
      <c r="E8" s="127"/>
    </row>
    <row r="9" spans="1:11" ht="20.100000000000001" customHeight="1" x14ac:dyDescent="0.25">
      <c r="A9" s="113"/>
    </row>
    <row r="12" spans="1:11" x14ac:dyDescent="0.25">
      <c r="B12" s="114"/>
      <c r="C12" s="114"/>
    </row>
    <row r="13" spans="1:11" x14ac:dyDescent="0.25">
      <c r="B13" s="114"/>
      <c r="C13" s="128"/>
    </row>
    <row r="16" spans="1:11" x14ac:dyDescent="0.25">
      <c r="C16" s="128"/>
    </row>
  </sheetData>
  <mergeCells count="1">
    <mergeCell ref="A2:H2"/>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6A70C-8D0A-45A3-83A1-EC4AA450E316}">
  <dimension ref="A1:F12"/>
  <sheetViews>
    <sheetView workbookViewId="0">
      <selection activeCell="B23" sqref="B23"/>
    </sheetView>
  </sheetViews>
  <sheetFormatPr defaultRowHeight="15" x14ac:dyDescent="0.25"/>
  <cols>
    <col min="1" max="1" width="36.42578125" customWidth="1"/>
    <col min="2" max="2" width="31.28515625" customWidth="1"/>
    <col min="4" max="4" width="31.28515625" customWidth="1"/>
  </cols>
  <sheetData>
    <row r="1" spans="1:6" ht="20.100000000000001" customHeight="1" x14ac:dyDescent="0.25">
      <c r="A1" s="1" t="s">
        <v>195</v>
      </c>
      <c r="B1" s="1"/>
      <c r="C1" s="1"/>
      <c r="D1" s="1"/>
      <c r="E1" s="1"/>
      <c r="F1" s="1"/>
    </row>
    <row r="2" spans="1:6" ht="71.099999999999994" customHeight="1" x14ac:dyDescent="0.25">
      <c r="A2" s="239" t="s">
        <v>89</v>
      </c>
      <c r="B2" s="239"/>
      <c r="C2" s="62"/>
      <c r="D2" s="62"/>
      <c r="E2" s="62"/>
    </row>
    <row r="3" spans="1:6" ht="12" customHeight="1" x14ac:dyDescent="0.25">
      <c r="A3" s="134"/>
      <c r="B3" s="134"/>
      <c r="C3" s="62"/>
      <c r="D3" s="62"/>
      <c r="E3" s="62"/>
    </row>
    <row r="4" spans="1:6" ht="20.100000000000001" customHeight="1" x14ac:dyDescent="0.25">
      <c r="A4" s="61" t="s">
        <v>21</v>
      </c>
      <c r="B4" s="175" t="s">
        <v>124</v>
      </c>
    </row>
    <row r="5" spans="1:6" ht="20.100000000000001" customHeight="1" x14ac:dyDescent="0.25">
      <c r="A5" s="123" t="s">
        <v>27</v>
      </c>
      <c r="B5" s="152">
        <v>10000000</v>
      </c>
    </row>
    <row r="6" spans="1:6" ht="20.100000000000001" customHeight="1" x14ac:dyDescent="0.25">
      <c r="A6" s="123" t="s">
        <v>28</v>
      </c>
      <c r="B6" s="152">
        <v>20000000</v>
      </c>
    </row>
    <row r="7" spans="1:6" ht="20.100000000000001" customHeight="1" x14ac:dyDescent="0.25">
      <c r="A7" s="123" t="s">
        <v>29</v>
      </c>
      <c r="B7" s="152">
        <v>20000000</v>
      </c>
    </row>
    <row r="8" spans="1:6" ht="20.100000000000001" customHeight="1" x14ac:dyDescent="0.25">
      <c r="A8" s="61" t="s">
        <v>0</v>
      </c>
      <c r="B8" s="193">
        <f>SUM(B5:B7)</f>
        <v>50000000</v>
      </c>
    </row>
    <row r="9" spans="1:6" x14ac:dyDescent="0.25">
      <c r="A9" s="53"/>
    </row>
    <row r="10" spans="1:6" x14ac:dyDescent="0.25">
      <c r="A10" s="53"/>
    </row>
    <row r="12" spans="1:6" x14ac:dyDescent="0.25">
      <c r="E12" t="s">
        <v>34</v>
      </c>
    </row>
  </sheetData>
  <mergeCells count="1">
    <mergeCell ref="A2:B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F413A-AA24-4FB1-978A-AD51D49E4A72}">
  <sheetPr codeName="Sheet12"/>
  <dimension ref="A1:E18"/>
  <sheetViews>
    <sheetView workbookViewId="0">
      <selection activeCell="C17" sqref="C17:C18"/>
    </sheetView>
  </sheetViews>
  <sheetFormatPr defaultColWidth="8.7109375" defaultRowHeight="15" x14ac:dyDescent="0.25"/>
  <cols>
    <col min="1" max="1" width="29.5703125" style="69" customWidth="1"/>
    <col min="2" max="2" width="20.5703125" style="69" customWidth="1"/>
    <col min="3" max="3" width="24.42578125" style="69" customWidth="1"/>
    <col min="4" max="4" width="28.5703125" style="69" customWidth="1"/>
    <col min="5" max="5" width="36.140625" style="69" customWidth="1"/>
    <col min="6" max="16384" width="8.7109375" style="69"/>
  </cols>
  <sheetData>
    <row r="1" spans="1:5" ht="20.100000000000001" customHeight="1" x14ac:dyDescent="0.25">
      <c r="A1" s="67" t="s">
        <v>208</v>
      </c>
      <c r="B1" s="67"/>
      <c r="C1" s="67"/>
      <c r="D1" s="67"/>
      <c r="E1" s="67"/>
    </row>
    <row r="2" spans="1:5" ht="57.95" customHeight="1" x14ac:dyDescent="0.25">
      <c r="A2" s="240" t="s">
        <v>89</v>
      </c>
      <c r="B2" s="240"/>
      <c r="C2" s="240"/>
      <c r="D2" s="240"/>
      <c r="E2" s="240"/>
    </row>
    <row r="3" spans="1:5" ht="11.45" customHeight="1" x14ac:dyDescent="0.25">
      <c r="A3" s="137"/>
      <c r="B3" s="137"/>
      <c r="C3" s="137"/>
      <c r="D3" s="137"/>
      <c r="E3" s="137"/>
    </row>
    <row r="4" spans="1:5" ht="20.100000000000001" customHeight="1" x14ac:dyDescent="0.25">
      <c r="A4" s="121" t="s">
        <v>112</v>
      </c>
      <c r="B4" s="154" t="s">
        <v>115</v>
      </c>
      <c r="C4" s="154" t="s">
        <v>113</v>
      </c>
      <c r="D4" s="154" t="s">
        <v>106</v>
      </c>
      <c r="E4" s="155" t="s">
        <v>111</v>
      </c>
    </row>
    <row r="5" spans="1:5" ht="20.100000000000001" customHeight="1" x14ac:dyDescent="0.25">
      <c r="A5" s="72" t="s">
        <v>16</v>
      </c>
      <c r="B5" s="156">
        <v>0</v>
      </c>
      <c r="C5" s="201">
        <v>0</v>
      </c>
      <c r="D5" s="75">
        <v>0</v>
      </c>
      <c r="E5" s="157">
        <v>0</v>
      </c>
    </row>
    <row r="6" spans="1:5" ht="20.100000000000001" customHeight="1" x14ac:dyDescent="0.25">
      <c r="A6" s="72" t="s">
        <v>17</v>
      </c>
      <c r="B6" s="156">
        <v>2</v>
      </c>
      <c r="C6" s="201">
        <v>0.66666666666666663</v>
      </c>
      <c r="D6" s="75">
        <v>30</v>
      </c>
      <c r="E6" s="157">
        <v>0.6</v>
      </c>
    </row>
    <row r="7" spans="1:5" ht="20.100000000000001" customHeight="1" x14ac:dyDescent="0.25">
      <c r="A7" s="72" t="s">
        <v>18</v>
      </c>
      <c r="B7" s="156">
        <v>1</v>
      </c>
      <c r="C7" s="201">
        <v>0.33333333333333331</v>
      </c>
      <c r="D7" s="75">
        <v>20</v>
      </c>
      <c r="E7" s="157">
        <v>0.4</v>
      </c>
    </row>
    <row r="8" spans="1:5" ht="20.100000000000001" customHeight="1" x14ac:dyDescent="0.25">
      <c r="A8" s="72" t="s">
        <v>19</v>
      </c>
      <c r="B8" s="156">
        <v>0</v>
      </c>
      <c r="C8" s="201">
        <v>0</v>
      </c>
      <c r="D8" s="75">
        <v>0</v>
      </c>
      <c r="E8" s="157">
        <v>0</v>
      </c>
    </row>
    <row r="9" spans="1:5" ht="20.100000000000001" customHeight="1" x14ac:dyDescent="0.25">
      <c r="A9" s="60" t="s">
        <v>0</v>
      </c>
      <c r="B9" s="160">
        <f>SUM(B5:B8)</f>
        <v>3</v>
      </c>
      <c r="C9" s="172">
        <f>SUM(C5:C8)</f>
        <v>1</v>
      </c>
      <c r="D9" s="202">
        <f>SUM(D5:D8)</f>
        <v>50</v>
      </c>
      <c r="E9" s="161">
        <f>SUM(E5:E8)</f>
        <v>1</v>
      </c>
    </row>
    <row r="10" spans="1:5" ht="20.100000000000001" customHeight="1" x14ac:dyDescent="0.25">
      <c r="A10" s="113"/>
    </row>
    <row r="11" spans="1:5" ht="20.100000000000001" customHeight="1" x14ac:dyDescent="0.25">
      <c r="A11" s="67"/>
      <c r="B11" s="67"/>
      <c r="C11" s="67"/>
      <c r="D11" s="67"/>
      <c r="E11" s="67"/>
    </row>
    <row r="12" spans="1:5" ht="20.100000000000001" customHeight="1" x14ac:dyDescent="0.25">
      <c r="A12" s="67"/>
      <c r="B12" s="78"/>
      <c r="C12" s="78"/>
      <c r="D12" s="242"/>
      <c r="E12" s="242"/>
    </row>
    <row r="13" spans="1:5" ht="20.100000000000001" customHeight="1" x14ac:dyDescent="0.25">
      <c r="A13" s="78"/>
      <c r="B13" s="52"/>
      <c r="C13" s="52"/>
      <c r="D13" s="52"/>
      <c r="E13" s="52"/>
    </row>
    <row r="14" spans="1:5" ht="20.100000000000001" customHeight="1" x14ac:dyDescent="0.25">
      <c r="A14" s="67"/>
      <c r="B14" s="129"/>
      <c r="C14" s="130"/>
      <c r="D14" s="75"/>
      <c r="E14" s="130"/>
    </row>
    <row r="15" spans="1:5" ht="20.100000000000001" customHeight="1" x14ac:dyDescent="0.25">
      <c r="A15" s="67"/>
      <c r="B15" s="129"/>
      <c r="C15" s="130" t="s">
        <v>34</v>
      </c>
      <c r="D15" s="75"/>
      <c r="E15" s="130" t="s">
        <v>34</v>
      </c>
    </row>
    <row r="16" spans="1:5" ht="20.100000000000001" customHeight="1" x14ac:dyDescent="0.25">
      <c r="A16" s="67"/>
      <c r="B16" s="129"/>
      <c r="C16" s="130"/>
      <c r="D16" s="75"/>
      <c r="E16" s="130"/>
    </row>
    <row r="17" spans="1:5" ht="20.100000000000001" customHeight="1" x14ac:dyDescent="0.25">
      <c r="A17" s="67"/>
      <c r="B17" s="129"/>
      <c r="C17" s="130"/>
      <c r="D17" s="75"/>
      <c r="E17" s="130"/>
    </row>
    <row r="18" spans="1:5" ht="20.100000000000001" customHeight="1" x14ac:dyDescent="0.25">
      <c r="A18" s="67"/>
      <c r="B18" s="126"/>
      <c r="C18" s="127"/>
      <c r="D18" s="131"/>
      <c r="E18" s="127"/>
    </row>
  </sheetData>
  <mergeCells count="2">
    <mergeCell ref="D12:E12"/>
    <mergeCell ref="A2:E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6721E-14A0-4C96-88F3-1B7992D4D8F7}">
  <sheetPr codeName="Sheet14"/>
  <dimension ref="A1:E22"/>
  <sheetViews>
    <sheetView workbookViewId="0">
      <selection activeCell="D27" sqref="D27"/>
    </sheetView>
  </sheetViews>
  <sheetFormatPr defaultColWidth="8.7109375" defaultRowHeight="15" x14ac:dyDescent="0.25"/>
  <cols>
    <col min="1" max="1" width="25.140625" style="69" customWidth="1"/>
    <col min="2" max="2" width="21.85546875" style="69" customWidth="1"/>
    <col min="3" max="3" width="24.5703125" style="69" customWidth="1"/>
    <col min="4" max="4" width="29.140625" style="69" customWidth="1"/>
    <col min="5" max="5" width="32.85546875" style="69" customWidth="1"/>
    <col min="6" max="16384" width="8.7109375" style="69"/>
  </cols>
  <sheetData>
    <row r="1" spans="1:5" ht="20.100000000000001" customHeight="1" x14ac:dyDescent="0.25">
      <c r="A1" s="67" t="s">
        <v>209</v>
      </c>
      <c r="B1" s="67"/>
      <c r="C1" s="67"/>
      <c r="D1" s="67"/>
      <c r="E1" s="67"/>
    </row>
    <row r="2" spans="1:5" ht="63" customHeight="1" x14ac:dyDescent="0.25">
      <c r="A2" s="240" t="s">
        <v>89</v>
      </c>
      <c r="B2" s="240"/>
      <c r="C2" s="240"/>
      <c r="D2" s="240"/>
      <c r="E2" s="240"/>
    </row>
    <row r="3" spans="1:5" ht="15" customHeight="1" x14ac:dyDescent="0.25">
      <c r="A3" s="137"/>
      <c r="B3" s="137"/>
      <c r="C3" s="137"/>
      <c r="D3" s="137"/>
      <c r="E3" s="137"/>
    </row>
    <row r="4" spans="1:5" ht="20.100000000000001" customHeight="1" x14ac:dyDescent="0.25">
      <c r="A4" s="121" t="s">
        <v>114</v>
      </c>
      <c r="B4" s="203" t="s">
        <v>115</v>
      </c>
      <c r="C4" s="154" t="s">
        <v>113</v>
      </c>
      <c r="D4" s="154" t="s">
        <v>106</v>
      </c>
      <c r="E4" s="155" t="s">
        <v>111</v>
      </c>
    </row>
    <row r="5" spans="1:5" ht="20.100000000000001" customHeight="1" x14ac:dyDescent="0.25">
      <c r="A5" s="72" t="s">
        <v>30</v>
      </c>
      <c r="B5" s="156">
        <v>3</v>
      </c>
      <c r="C5" s="158">
        <v>1</v>
      </c>
      <c r="D5" s="133">
        <v>50</v>
      </c>
      <c r="E5" s="163">
        <v>1</v>
      </c>
    </row>
    <row r="6" spans="1:5" ht="20.100000000000001" customHeight="1" x14ac:dyDescent="0.25">
      <c r="A6" s="72" t="s">
        <v>95</v>
      </c>
      <c r="B6" s="156">
        <v>0</v>
      </c>
      <c r="C6" s="158">
        <v>0</v>
      </c>
      <c r="D6" s="133">
        <v>0</v>
      </c>
      <c r="E6" s="163">
        <v>0</v>
      </c>
    </row>
    <row r="7" spans="1:5" ht="20.100000000000001" customHeight="1" x14ac:dyDescent="0.25">
      <c r="A7" s="72" t="s">
        <v>2</v>
      </c>
      <c r="B7" s="156">
        <v>0</v>
      </c>
      <c r="C7" s="158">
        <v>0</v>
      </c>
      <c r="D7" s="133">
        <v>0</v>
      </c>
      <c r="E7" s="163">
        <v>0</v>
      </c>
    </row>
    <row r="8" spans="1:5" ht="20.100000000000001" customHeight="1" x14ac:dyDescent="0.25">
      <c r="A8" s="60" t="s">
        <v>0</v>
      </c>
      <c r="B8" s="160">
        <f>SUM(B5:B7)</f>
        <v>3</v>
      </c>
      <c r="C8" s="204">
        <f>SUM(C5:C7)</f>
        <v>1</v>
      </c>
      <c r="D8" s="202">
        <f>SUM(D5:D7)</f>
        <v>50</v>
      </c>
      <c r="E8" s="166">
        <f>SUM(E5:E7)</f>
        <v>1</v>
      </c>
    </row>
    <row r="9" spans="1:5" ht="20.100000000000001" customHeight="1" x14ac:dyDescent="0.25">
      <c r="A9" s="113"/>
    </row>
    <row r="10" spans="1:5" ht="20.100000000000001" customHeight="1" x14ac:dyDescent="0.25">
      <c r="A10" s="67"/>
      <c r="B10" s="67"/>
      <c r="C10" s="67"/>
      <c r="D10" s="67"/>
      <c r="E10" s="67"/>
    </row>
    <row r="11" spans="1:5" ht="20.100000000000001" customHeight="1" x14ac:dyDescent="0.25">
      <c r="A11" s="67"/>
      <c r="B11" s="67"/>
      <c r="C11" s="67"/>
      <c r="D11" s="67"/>
      <c r="E11" s="67"/>
    </row>
    <row r="12" spans="1:5" ht="20.100000000000001" customHeight="1" x14ac:dyDescent="0.25">
      <c r="A12" s="78"/>
      <c r="B12" s="52"/>
      <c r="C12" s="52"/>
      <c r="D12" s="52"/>
      <c r="E12" s="52"/>
    </row>
    <row r="13" spans="1:5" ht="20.100000000000001" customHeight="1" x14ac:dyDescent="0.25">
      <c r="A13" s="67"/>
      <c r="B13" s="129"/>
      <c r="C13" s="132"/>
      <c r="D13" s="133"/>
      <c r="E13" s="132"/>
    </row>
    <row r="14" spans="1:5" ht="20.100000000000001" customHeight="1" x14ac:dyDescent="0.25">
      <c r="A14" s="67"/>
      <c r="B14" s="129"/>
      <c r="C14" s="132"/>
      <c r="D14" s="133"/>
      <c r="E14" s="132"/>
    </row>
    <row r="15" spans="1:5" ht="15.75" x14ac:dyDescent="0.25">
      <c r="A15" s="67"/>
      <c r="B15" s="129"/>
      <c r="C15" s="132"/>
      <c r="D15" s="133"/>
      <c r="E15" s="132"/>
    </row>
    <row r="16" spans="1:5" ht="15.75" x14ac:dyDescent="0.25">
      <c r="A16" s="67"/>
      <c r="B16" s="126"/>
      <c r="C16" s="127"/>
      <c r="D16" s="131"/>
      <c r="E16" s="127"/>
    </row>
    <row r="22" spans="4:4" x14ac:dyDescent="0.25">
      <c r="D22" s="69" t="s">
        <v>34</v>
      </c>
    </row>
  </sheetData>
  <mergeCells count="1">
    <mergeCell ref="A2:E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54078-76BF-47C3-98CE-E2566F3553D5}">
  <sheetPr codeName="Sheet16"/>
  <dimension ref="A1:K17"/>
  <sheetViews>
    <sheetView zoomScale="91" workbookViewId="0">
      <selection activeCell="E17" sqref="E17"/>
    </sheetView>
  </sheetViews>
  <sheetFormatPr defaultColWidth="8.7109375" defaultRowHeight="15" x14ac:dyDescent="0.25"/>
  <cols>
    <col min="1" max="1" width="20.140625" style="69" customWidth="1"/>
    <col min="2" max="2" width="23.7109375" style="69" customWidth="1"/>
    <col min="3" max="3" width="19.140625" style="69" customWidth="1"/>
    <col min="4" max="4" width="14.42578125" style="69" customWidth="1"/>
    <col min="5" max="5" width="17.42578125" style="69" customWidth="1"/>
    <col min="6" max="6" width="17.85546875" style="69" customWidth="1"/>
    <col min="7" max="7" width="16.42578125" style="69" customWidth="1"/>
    <col min="8" max="8" width="23.5703125" style="69" customWidth="1"/>
    <col min="9" max="16384" width="8.7109375" style="69"/>
  </cols>
  <sheetData>
    <row r="1" spans="1:11" ht="20.100000000000001" customHeight="1" x14ac:dyDescent="0.25">
      <c r="A1" s="56" t="s">
        <v>194</v>
      </c>
      <c r="B1" s="56"/>
      <c r="C1" s="56"/>
      <c r="D1" s="56"/>
      <c r="E1" s="56"/>
      <c r="F1" s="56"/>
      <c r="G1" s="56"/>
      <c r="H1" s="56"/>
      <c r="I1" s="56"/>
      <c r="J1" s="56"/>
      <c r="K1" s="56"/>
    </row>
    <row r="2" spans="1:11" ht="123" customHeight="1" x14ac:dyDescent="0.25">
      <c r="A2" s="240" t="s">
        <v>134</v>
      </c>
      <c r="B2" s="240"/>
      <c r="C2" s="240"/>
      <c r="D2" s="240"/>
      <c r="E2" s="240"/>
      <c r="F2" s="240"/>
      <c r="G2" s="240"/>
      <c r="H2" s="240"/>
      <c r="I2" s="56"/>
      <c r="J2" s="56"/>
      <c r="K2" s="56"/>
    </row>
    <row r="3" spans="1:11" ht="17.45" customHeight="1" x14ac:dyDescent="0.25">
      <c r="A3" s="137"/>
      <c r="B3" s="137"/>
      <c r="C3" s="137"/>
      <c r="D3" s="137"/>
      <c r="E3" s="137"/>
      <c r="F3" s="137"/>
      <c r="G3" s="137"/>
      <c r="H3" s="137"/>
      <c r="I3" s="56"/>
      <c r="J3" s="56"/>
      <c r="K3" s="56"/>
    </row>
    <row r="4" spans="1:11" ht="31.5" x14ac:dyDescent="0.25">
      <c r="A4" s="121" t="s">
        <v>116</v>
      </c>
      <c r="B4" s="197" t="s">
        <v>125</v>
      </c>
      <c r="C4" s="197" t="s">
        <v>118</v>
      </c>
      <c r="D4" s="197" t="s">
        <v>119</v>
      </c>
      <c r="E4" s="197" t="s">
        <v>120</v>
      </c>
      <c r="F4" s="197" t="s">
        <v>121</v>
      </c>
      <c r="G4" s="197" t="s">
        <v>122</v>
      </c>
      <c r="H4" s="198" t="s">
        <v>123</v>
      </c>
      <c r="I4" s="125"/>
    </row>
    <row r="5" spans="1:11" ht="24.6" customHeight="1" x14ac:dyDescent="0.25">
      <c r="A5" s="205" t="s">
        <v>32</v>
      </c>
      <c r="B5" s="206">
        <v>50000000</v>
      </c>
      <c r="C5" s="207">
        <v>39296000</v>
      </c>
      <c r="D5" s="208">
        <v>0.78591999999999995</v>
      </c>
      <c r="E5" s="206">
        <v>4853000</v>
      </c>
      <c r="F5" s="206">
        <v>40118000</v>
      </c>
      <c r="G5" s="206">
        <f>F5+E5</f>
        <v>44971000</v>
      </c>
      <c r="H5" s="209">
        <f>G5/C5</f>
        <v>1.1444167345276872</v>
      </c>
    </row>
    <row r="6" spans="1:11" ht="20.100000000000001" customHeight="1" x14ac:dyDescent="0.25">
      <c r="A6" s="67"/>
      <c r="B6" s="126"/>
      <c r="C6" s="127"/>
      <c r="D6" s="67"/>
      <c r="E6" s="127"/>
    </row>
    <row r="7" spans="1:11" ht="20.100000000000001" customHeight="1" x14ac:dyDescent="0.25">
      <c r="A7" s="67"/>
      <c r="B7" s="126"/>
      <c r="C7" s="127"/>
      <c r="D7" s="67"/>
      <c r="E7" s="127"/>
    </row>
    <row r="8" spans="1:11" ht="20.100000000000001" customHeight="1" x14ac:dyDescent="0.25">
      <c r="A8" s="67"/>
      <c r="B8" s="126"/>
      <c r="C8" s="127"/>
      <c r="D8" s="200"/>
      <c r="E8" s="127"/>
    </row>
    <row r="9" spans="1:11" ht="20.100000000000001" customHeight="1" x14ac:dyDescent="0.25">
      <c r="A9" s="113"/>
    </row>
    <row r="11" spans="1:11" x14ac:dyDescent="0.25">
      <c r="E11" s="69" t="s">
        <v>34</v>
      </c>
    </row>
    <row r="12" spans="1:11" x14ac:dyDescent="0.25">
      <c r="B12" s="114"/>
      <c r="C12" s="114"/>
    </row>
    <row r="13" spans="1:11" x14ac:dyDescent="0.25">
      <c r="B13" s="114"/>
      <c r="C13" s="128"/>
    </row>
    <row r="16" spans="1:11" x14ac:dyDescent="0.25">
      <c r="C16" s="128"/>
    </row>
    <row r="17" spans="5:5" x14ac:dyDescent="0.25">
      <c r="E17" s="69" t="s">
        <v>34</v>
      </c>
    </row>
  </sheetData>
  <mergeCells count="1">
    <mergeCell ref="A2:H2"/>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3920A-3A93-4417-B27A-B7E72FD3E0AC}">
  <sheetPr codeName="Sheet17"/>
  <dimension ref="A1:K32"/>
  <sheetViews>
    <sheetView workbookViewId="0">
      <selection activeCell="E14" sqref="E14"/>
    </sheetView>
  </sheetViews>
  <sheetFormatPr defaultRowHeight="15" x14ac:dyDescent="0.25"/>
  <cols>
    <col min="1" max="1" width="26" customWidth="1"/>
    <col min="2" max="2" width="21" customWidth="1"/>
    <col min="3" max="3" width="25.5703125" customWidth="1"/>
    <col min="4" max="4" width="27.5703125" customWidth="1"/>
    <col min="5" max="5" width="31.5703125" customWidth="1"/>
    <col min="7" max="7" width="11.7109375" customWidth="1"/>
  </cols>
  <sheetData>
    <row r="1" spans="1:11" ht="20.100000000000001" customHeight="1" x14ac:dyDescent="0.25">
      <c r="A1" s="1" t="s">
        <v>230</v>
      </c>
      <c r="B1" s="1"/>
      <c r="C1" s="1"/>
      <c r="D1" s="1"/>
      <c r="E1" s="1"/>
      <c r="F1" s="1"/>
      <c r="G1" s="1"/>
    </row>
    <row r="2" spans="1:11" ht="49.5" customHeight="1" x14ac:dyDescent="0.25">
      <c r="A2" s="239" t="s">
        <v>90</v>
      </c>
      <c r="B2" s="239"/>
      <c r="C2" s="239"/>
      <c r="D2" s="239"/>
      <c r="E2" s="239"/>
    </row>
    <row r="3" spans="1:11" ht="12.95" customHeight="1" x14ac:dyDescent="0.25">
      <c r="A3" s="134"/>
      <c r="B3" s="134"/>
      <c r="C3" s="134"/>
      <c r="D3" s="134"/>
      <c r="E3" s="134"/>
    </row>
    <row r="4" spans="1:11" ht="19.5" customHeight="1" x14ac:dyDescent="0.25">
      <c r="A4" s="58" t="s">
        <v>112</v>
      </c>
      <c r="B4" s="154" t="s">
        <v>115</v>
      </c>
      <c r="C4" s="154" t="s">
        <v>113</v>
      </c>
      <c r="D4" s="154" t="s">
        <v>106</v>
      </c>
      <c r="E4" s="155" t="s">
        <v>111</v>
      </c>
    </row>
    <row r="5" spans="1:11" ht="20.100000000000001" customHeight="1" x14ac:dyDescent="0.25">
      <c r="A5" s="120" t="s">
        <v>16</v>
      </c>
      <c r="B5" s="19">
        <v>12</v>
      </c>
      <c r="C5" s="176">
        <v>0.25531914893617019</v>
      </c>
      <c r="D5" s="177">
        <v>145.4</v>
      </c>
      <c r="E5" s="178">
        <f>D5/$D$9</f>
        <v>0.15906355978558143</v>
      </c>
      <c r="I5" s="29"/>
      <c r="J5" s="29"/>
    </row>
    <row r="6" spans="1:11" ht="20.100000000000001" customHeight="1" x14ac:dyDescent="0.25">
      <c r="A6" s="120" t="s">
        <v>17</v>
      </c>
      <c r="B6" s="19">
        <v>22</v>
      </c>
      <c r="C6" s="176">
        <v>0.46808510638297873</v>
      </c>
      <c r="D6" s="177">
        <v>404.8</v>
      </c>
      <c r="E6" s="178">
        <f t="shared" ref="E6:E8" si="0">D6/$D$9</f>
        <v>0.44283995186522257</v>
      </c>
      <c r="I6" s="29"/>
      <c r="J6" s="29"/>
    </row>
    <row r="7" spans="1:11" ht="20.100000000000001" customHeight="1" x14ac:dyDescent="0.25">
      <c r="A7" s="120" t="s">
        <v>18</v>
      </c>
      <c r="B7" s="19">
        <v>5</v>
      </c>
      <c r="C7" s="176">
        <v>0.10638297872340426</v>
      </c>
      <c r="D7" s="177">
        <v>108.2</v>
      </c>
      <c r="E7" s="178">
        <f t="shared" si="0"/>
        <v>0.11836779345804616</v>
      </c>
      <c r="I7" s="29"/>
      <c r="J7" s="29"/>
    </row>
    <row r="8" spans="1:11" ht="20.100000000000001" customHeight="1" x14ac:dyDescent="0.25">
      <c r="A8" s="120" t="s">
        <v>19</v>
      </c>
      <c r="B8" s="19">
        <v>8</v>
      </c>
      <c r="C8" s="176">
        <v>0.1702127659574468</v>
      </c>
      <c r="D8" s="177">
        <v>255.7</v>
      </c>
      <c r="E8" s="178">
        <f t="shared" si="0"/>
        <v>0.27972869489114971</v>
      </c>
      <c r="I8" s="29"/>
      <c r="J8" s="29"/>
    </row>
    <row r="9" spans="1:11" ht="20.100000000000001" customHeight="1" x14ac:dyDescent="0.25">
      <c r="A9" s="61" t="s">
        <v>0</v>
      </c>
      <c r="B9" s="180">
        <v>47</v>
      </c>
      <c r="C9" s="181">
        <v>1</v>
      </c>
      <c r="D9" s="182">
        <f>SUM(D5:D8)</f>
        <v>914.10000000000014</v>
      </c>
      <c r="E9" s="183">
        <f>SUM(E5:E8)</f>
        <v>0.99999999999999989</v>
      </c>
      <c r="I9" s="30"/>
    </row>
    <row r="10" spans="1:11" ht="20.100000000000001" customHeight="1" x14ac:dyDescent="0.25">
      <c r="A10" s="9"/>
      <c r="D10" s="210"/>
    </row>
    <row r="11" spans="1:11" ht="20.100000000000001" customHeight="1" x14ac:dyDescent="0.25">
      <c r="D11" s="177"/>
    </row>
    <row r="12" spans="1:11" ht="20.100000000000001" customHeight="1" x14ac:dyDescent="0.25">
      <c r="A12" s="134"/>
      <c r="B12" s="134"/>
      <c r="C12" s="134"/>
      <c r="D12" s="134"/>
      <c r="E12" s="134"/>
      <c r="I12" s="144"/>
      <c r="K12" s="144"/>
    </row>
    <row r="13" spans="1:11" ht="20.100000000000001" customHeight="1" x14ac:dyDescent="0.25">
      <c r="A13" s="1"/>
      <c r="B13" s="1"/>
      <c r="C13" s="1"/>
      <c r="D13" s="1"/>
      <c r="E13" s="1"/>
      <c r="I13" s="144"/>
      <c r="K13" s="144"/>
    </row>
    <row r="14" spans="1:11" ht="20.100000000000001" customHeight="1" x14ac:dyDescent="0.25">
      <c r="A14" s="218"/>
      <c r="B14" s="19"/>
      <c r="C14" s="216"/>
      <c r="D14" s="31"/>
      <c r="E14" s="216"/>
      <c r="I14" s="144"/>
      <c r="K14" s="144"/>
    </row>
    <row r="15" spans="1:11" ht="20.100000000000001" customHeight="1" x14ac:dyDescent="0.25">
      <c r="A15" s="218"/>
      <c r="B15" s="19"/>
      <c r="C15" s="216"/>
      <c r="D15" s="31"/>
      <c r="E15" s="216"/>
      <c r="I15" s="144"/>
      <c r="K15" s="144"/>
    </row>
    <row r="16" spans="1:11" ht="20.100000000000001" customHeight="1" x14ac:dyDescent="0.25">
      <c r="A16" s="218"/>
      <c r="B16" s="19"/>
      <c r="C16" s="216"/>
      <c r="D16" s="31"/>
      <c r="E16" s="216"/>
      <c r="I16" s="144"/>
      <c r="K16" s="144"/>
    </row>
    <row r="17" spans="1:5" ht="20.100000000000001" customHeight="1" x14ac:dyDescent="0.25">
      <c r="A17" s="218"/>
      <c r="B17" s="19"/>
      <c r="C17" s="216"/>
      <c r="D17" s="31"/>
      <c r="E17" s="216"/>
    </row>
    <row r="18" spans="1:5" ht="20.100000000000001" customHeight="1" x14ac:dyDescent="0.25">
      <c r="A18" s="55"/>
      <c r="B18" s="20"/>
      <c r="C18" s="231"/>
      <c r="D18" s="232"/>
      <c r="E18" s="231"/>
    </row>
    <row r="19" spans="1:5" ht="20.100000000000001" customHeight="1" x14ac:dyDescent="0.25">
      <c r="A19" s="9"/>
    </row>
    <row r="20" spans="1:5" ht="20.100000000000001" customHeight="1" x14ac:dyDescent="0.25">
      <c r="A20" s="78"/>
      <c r="B20" s="78"/>
      <c r="C20" s="78"/>
      <c r="D20" s="78"/>
      <c r="E20" s="24"/>
    </row>
    <row r="21" spans="1:5" ht="15.75" x14ac:dyDescent="0.25">
      <c r="A21" s="68"/>
      <c r="B21" s="156"/>
      <c r="C21" s="170"/>
      <c r="D21" s="75"/>
      <c r="E21" s="24"/>
    </row>
    <row r="22" spans="1:5" ht="15.75" x14ac:dyDescent="0.25">
      <c r="A22" s="68"/>
      <c r="B22" s="156"/>
      <c r="C22" s="170"/>
      <c r="D22" s="75"/>
      <c r="E22" s="24"/>
    </row>
    <row r="23" spans="1:5" ht="15.75" x14ac:dyDescent="0.25">
      <c r="A23" s="68"/>
      <c r="B23" s="156"/>
      <c r="C23" s="170"/>
      <c r="D23" s="75"/>
      <c r="E23" s="150"/>
    </row>
    <row r="24" spans="1:5" ht="15.75" x14ac:dyDescent="0.25">
      <c r="A24" s="68"/>
      <c r="B24" s="156"/>
      <c r="C24" s="170"/>
      <c r="D24" s="75"/>
      <c r="E24" s="150"/>
    </row>
    <row r="25" spans="1:5" ht="15.75" x14ac:dyDescent="0.25">
      <c r="A25" s="67"/>
      <c r="B25" s="147"/>
      <c r="C25" s="233"/>
      <c r="D25" s="131"/>
      <c r="E25" s="150"/>
    </row>
    <row r="26" spans="1:5" x14ac:dyDescent="0.25">
      <c r="C26" s="150"/>
      <c r="E26" s="150"/>
    </row>
    <row r="27" spans="1:5" ht="15.75" x14ac:dyDescent="0.25">
      <c r="A27" s="55"/>
      <c r="B27" s="55"/>
      <c r="C27" s="55"/>
      <c r="D27" s="55"/>
      <c r="E27" s="150"/>
    </row>
    <row r="28" spans="1:5" ht="15.75" x14ac:dyDescent="0.25">
      <c r="A28" s="4"/>
      <c r="B28" s="19"/>
      <c r="C28" s="216"/>
      <c r="D28" s="31"/>
      <c r="E28" s="150"/>
    </row>
    <row r="29" spans="1:5" ht="15.75" x14ac:dyDescent="0.25">
      <c r="A29" s="4"/>
      <c r="B29" s="19"/>
      <c r="C29" s="216"/>
      <c r="D29" s="31"/>
    </row>
    <row r="30" spans="1:5" ht="15.75" x14ac:dyDescent="0.25">
      <c r="A30" s="4"/>
      <c r="B30" s="19"/>
      <c r="C30" s="216"/>
      <c r="D30" s="31"/>
    </row>
    <row r="31" spans="1:5" ht="15.75" x14ac:dyDescent="0.25">
      <c r="A31" s="4"/>
      <c r="B31" s="19"/>
      <c r="C31" s="216"/>
      <c r="D31" s="31"/>
    </row>
    <row r="32" spans="1:5" ht="15.75" x14ac:dyDescent="0.25">
      <c r="A32" s="1"/>
      <c r="B32" s="20"/>
      <c r="C32" s="231"/>
      <c r="D32" s="22"/>
    </row>
  </sheetData>
  <mergeCells count="1">
    <mergeCell ref="A2:E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B88C0-2725-4306-A230-F3BAFF04EDF8}">
  <sheetPr codeName="Sheet18"/>
  <dimension ref="A1:L29"/>
  <sheetViews>
    <sheetView workbookViewId="0">
      <selection activeCell="D12" sqref="D12"/>
    </sheetView>
  </sheetViews>
  <sheetFormatPr defaultRowHeight="15" x14ac:dyDescent="0.25"/>
  <cols>
    <col min="1" max="1" width="29" customWidth="1"/>
    <col min="2" max="2" width="20.85546875" customWidth="1"/>
    <col min="3" max="3" width="23.42578125" customWidth="1"/>
    <col min="4" max="4" width="27" customWidth="1"/>
    <col min="5" max="5" width="31" customWidth="1"/>
    <col min="7" max="7" width="11.5703125" customWidth="1"/>
  </cols>
  <sheetData>
    <row r="1" spans="1:12" ht="20.100000000000001" customHeight="1" x14ac:dyDescent="0.25">
      <c r="A1" s="1" t="s">
        <v>231</v>
      </c>
      <c r="B1" s="1"/>
      <c r="C1" s="1"/>
      <c r="D1" s="1"/>
      <c r="E1" s="1"/>
      <c r="F1" s="1"/>
      <c r="G1" s="1"/>
    </row>
    <row r="2" spans="1:12" ht="51.6" customHeight="1" x14ac:dyDescent="0.25">
      <c r="A2" s="239" t="s">
        <v>90</v>
      </c>
      <c r="B2" s="239"/>
      <c r="C2" s="239"/>
      <c r="D2" s="239"/>
      <c r="E2" s="239"/>
    </row>
    <row r="3" spans="1:12" ht="18" customHeight="1" x14ac:dyDescent="0.25">
      <c r="A3" s="134"/>
      <c r="B3" s="134"/>
      <c r="C3" s="134"/>
      <c r="D3" s="134"/>
      <c r="E3" s="134"/>
    </row>
    <row r="4" spans="1:12" ht="20.100000000000001" customHeight="1" x14ac:dyDescent="0.25">
      <c r="A4" s="58" t="s">
        <v>114</v>
      </c>
      <c r="B4" s="154" t="s">
        <v>115</v>
      </c>
      <c r="C4" s="154" t="s">
        <v>113</v>
      </c>
      <c r="D4" s="154" t="s">
        <v>106</v>
      </c>
      <c r="E4" s="155" t="s">
        <v>111</v>
      </c>
      <c r="H4" s="55"/>
      <c r="I4" s="78"/>
      <c r="J4" s="78"/>
      <c r="K4" s="78"/>
      <c r="L4" s="78"/>
    </row>
    <row r="5" spans="1:12" ht="20.100000000000001" customHeight="1" x14ac:dyDescent="0.25">
      <c r="A5" s="120" t="s">
        <v>33</v>
      </c>
      <c r="B5" s="19">
        <v>3</v>
      </c>
      <c r="C5" s="176">
        <v>6.3829787234042548E-2</v>
      </c>
      <c r="D5" s="177">
        <v>60</v>
      </c>
      <c r="E5" s="178">
        <v>6.5638332786347231E-2</v>
      </c>
      <c r="H5" s="4"/>
      <c r="I5" s="19"/>
      <c r="J5" s="145"/>
      <c r="K5" s="64"/>
      <c r="L5" s="145"/>
    </row>
    <row r="6" spans="1:12" ht="20.100000000000001" customHeight="1" x14ac:dyDescent="0.25">
      <c r="A6" s="120" t="s">
        <v>95</v>
      </c>
      <c r="B6" s="19">
        <v>36</v>
      </c>
      <c r="C6" s="176">
        <v>0.76595744680851063</v>
      </c>
      <c r="D6" s="177">
        <v>706.1</v>
      </c>
      <c r="E6" s="178">
        <v>0.77245377967399631</v>
      </c>
      <c r="H6" s="4"/>
      <c r="I6" s="19"/>
      <c r="J6" s="145"/>
      <c r="K6" s="64"/>
      <c r="L6" s="145"/>
    </row>
    <row r="7" spans="1:12" ht="20.100000000000001" customHeight="1" x14ac:dyDescent="0.25">
      <c r="A7" s="120" t="s">
        <v>2</v>
      </c>
      <c r="B7" s="19">
        <v>8</v>
      </c>
      <c r="C7" s="176">
        <v>0.1702127659574468</v>
      </c>
      <c r="D7" s="177">
        <v>148</v>
      </c>
      <c r="E7" s="178">
        <v>0.16190788753965649</v>
      </c>
      <c r="H7" s="4"/>
      <c r="I7" s="19"/>
      <c r="J7" s="145"/>
      <c r="K7" s="64"/>
      <c r="L7" s="145"/>
    </row>
    <row r="8" spans="1:12" ht="20.100000000000001" customHeight="1" x14ac:dyDescent="0.25">
      <c r="A8" s="61" t="s">
        <v>0</v>
      </c>
      <c r="B8" s="180">
        <f>SUM(B5:B7)</f>
        <v>47</v>
      </c>
      <c r="C8" s="211">
        <f>SUM(C5:C7)</f>
        <v>1</v>
      </c>
      <c r="D8" s="182">
        <f>SUM(D5:D7)</f>
        <v>914.1</v>
      </c>
      <c r="E8" s="212">
        <f>SUM(E5:E7)</f>
        <v>1</v>
      </c>
      <c r="H8" s="1"/>
      <c r="I8" s="20"/>
      <c r="J8" s="21"/>
      <c r="K8" s="66"/>
      <c r="L8" s="21"/>
    </row>
    <row r="9" spans="1:12" ht="20.100000000000001" customHeight="1" x14ac:dyDescent="0.25">
      <c r="A9" s="9"/>
    </row>
    <row r="10" spans="1:12" ht="20.100000000000001" customHeight="1" x14ac:dyDescent="0.25">
      <c r="C10" s="179"/>
      <c r="E10" s="179"/>
      <c r="J10" s="150"/>
      <c r="L10" s="150"/>
    </row>
    <row r="11" spans="1:12" ht="20.100000000000001" customHeight="1" x14ac:dyDescent="0.25">
      <c r="C11" s="179"/>
      <c r="E11" s="179"/>
      <c r="J11" s="150"/>
      <c r="L11" s="150"/>
    </row>
    <row r="12" spans="1:12" ht="20.100000000000001" customHeight="1" x14ac:dyDescent="0.25">
      <c r="C12" s="179"/>
      <c r="E12" s="179"/>
      <c r="J12" s="150"/>
      <c r="L12" s="150"/>
    </row>
    <row r="13" spans="1:12" ht="20.100000000000001" customHeight="1" x14ac:dyDescent="0.25">
      <c r="C13" s="179"/>
      <c r="E13" s="179" t="s">
        <v>34</v>
      </c>
    </row>
    <row r="14" spans="1:12" ht="15.75" x14ac:dyDescent="0.25">
      <c r="A14" s="1"/>
      <c r="B14" s="19"/>
      <c r="C14" s="176"/>
      <c r="D14" s="26"/>
      <c r="E14" s="213"/>
    </row>
    <row r="15" spans="1:12" ht="15.75" x14ac:dyDescent="0.25">
      <c r="A15" s="1"/>
      <c r="B15" s="19"/>
      <c r="C15" s="176"/>
      <c r="D15" s="7"/>
      <c r="E15" s="213"/>
    </row>
    <row r="16" spans="1:12" ht="15.75" x14ac:dyDescent="0.25">
      <c r="A16" s="1"/>
      <c r="B16" s="19"/>
      <c r="C16" s="176"/>
      <c r="D16" s="26"/>
      <c r="E16" s="213"/>
    </row>
    <row r="17" spans="1:5" ht="15.75" x14ac:dyDescent="0.25">
      <c r="A17" s="1"/>
      <c r="B17" s="20"/>
      <c r="C17" s="149"/>
      <c r="D17" s="22"/>
      <c r="E17" s="149"/>
    </row>
    <row r="18" spans="1:5" x14ac:dyDescent="0.25">
      <c r="C18" s="144"/>
      <c r="E18" s="144"/>
    </row>
    <row r="19" spans="1:5" x14ac:dyDescent="0.25">
      <c r="C19" s="144"/>
      <c r="E19" s="144"/>
    </row>
    <row r="20" spans="1:5" x14ac:dyDescent="0.25">
      <c r="C20" s="144"/>
      <c r="E20" s="144"/>
    </row>
    <row r="21" spans="1:5" x14ac:dyDescent="0.25">
      <c r="C21" s="144"/>
      <c r="E21" s="144"/>
    </row>
    <row r="22" spans="1:5" x14ac:dyDescent="0.25">
      <c r="C22" s="144"/>
      <c r="E22" s="144"/>
    </row>
    <row r="23" spans="1:5" x14ac:dyDescent="0.25">
      <c r="C23" s="144"/>
      <c r="E23" s="144"/>
    </row>
    <row r="24" spans="1:5" x14ac:dyDescent="0.25">
      <c r="C24" s="144"/>
      <c r="E24" s="144"/>
    </row>
    <row r="25" spans="1:5" x14ac:dyDescent="0.25">
      <c r="C25" s="144"/>
      <c r="E25" s="144"/>
    </row>
    <row r="26" spans="1:5" x14ac:dyDescent="0.25">
      <c r="C26" s="144"/>
      <c r="E26" s="144"/>
    </row>
    <row r="27" spans="1:5" x14ac:dyDescent="0.25">
      <c r="C27" s="144"/>
      <c r="E27" s="144"/>
    </row>
    <row r="28" spans="1:5" x14ac:dyDescent="0.25">
      <c r="C28" s="144"/>
      <c r="E28" s="144"/>
    </row>
    <row r="29" spans="1:5" x14ac:dyDescent="0.25">
      <c r="E29" s="144"/>
    </row>
  </sheetData>
  <mergeCells count="1">
    <mergeCell ref="A2:E2"/>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7647D-2498-4302-BBF8-8D125DFEDD9A}">
  <dimension ref="A1:K18"/>
  <sheetViews>
    <sheetView workbookViewId="0">
      <selection activeCell="B17" sqref="B17"/>
    </sheetView>
  </sheetViews>
  <sheetFormatPr defaultRowHeight="15" x14ac:dyDescent="0.25"/>
  <cols>
    <col min="1" max="1" width="28.85546875" customWidth="1"/>
    <col min="2" max="3" width="69.28515625" customWidth="1"/>
    <col min="4" max="4" width="18.28515625" customWidth="1"/>
    <col min="5" max="5" width="24.5703125" customWidth="1"/>
    <col min="7" max="7" width="11.5703125" customWidth="1"/>
  </cols>
  <sheetData>
    <row r="1" spans="1:11" ht="20.100000000000001" customHeight="1" x14ac:dyDescent="0.25">
      <c r="A1" s="1" t="s">
        <v>210</v>
      </c>
      <c r="B1" s="1"/>
      <c r="C1" s="1"/>
      <c r="D1" s="1"/>
      <c r="E1" s="1"/>
      <c r="F1" s="1"/>
      <c r="G1" s="1"/>
    </row>
    <row r="2" spans="1:11" ht="65.25" customHeight="1" x14ac:dyDescent="0.25">
      <c r="A2" s="239" t="s">
        <v>90</v>
      </c>
      <c r="B2" s="239"/>
      <c r="C2" s="134"/>
      <c r="D2" s="134"/>
      <c r="E2" s="134"/>
    </row>
    <row r="3" spans="1:11" ht="17.100000000000001" customHeight="1" x14ac:dyDescent="0.25">
      <c r="A3" s="134"/>
      <c r="B3" s="134"/>
      <c r="C3" s="134"/>
      <c r="D3" s="134"/>
      <c r="E3" s="134"/>
    </row>
    <row r="4" spans="1:11" ht="20.100000000000001" customHeight="1" x14ac:dyDescent="0.25">
      <c r="A4" s="58" t="s">
        <v>64</v>
      </c>
      <c r="B4" s="151" t="s">
        <v>91</v>
      </c>
      <c r="C4" s="4"/>
      <c r="D4" s="1"/>
      <c r="E4" s="54"/>
    </row>
    <row r="5" spans="1:11" ht="20.100000000000001" customHeight="1" x14ac:dyDescent="0.25">
      <c r="A5" s="120" t="s">
        <v>65</v>
      </c>
      <c r="B5" s="178">
        <v>0.13200000000000001</v>
      </c>
      <c r="C5" s="8"/>
      <c r="D5" s="64"/>
      <c r="E5" s="65"/>
      <c r="H5" s="19"/>
      <c r="I5" s="29"/>
    </row>
    <row r="6" spans="1:11" ht="20.100000000000001" customHeight="1" x14ac:dyDescent="0.25">
      <c r="A6" s="120" t="s">
        <v>66</v>
      </c>
      <c r="B6" s="178">
        <v>0.49399999999999999</v>
      </c>
      <c r="C6" s="8"/>
      <c r="D6" s="64"/>
      <c r="E6" s="65"/>
      <c r="H6" s="19"/>
      <c r="I6" s="29"/>
      <c r="K6" s="63"/>
    </row>
    <row r="7" spans="1:11" ht="20.100000000000001" customHeight="1" x14ac:dyDescent="0.25">
      <c r="A7" s="120" t="s">
        <v>67</v>
      </c>
      <c r="B7" s="178">
        <v>0.19</v>
      </c>
      <c r="C7" s="8"/>
      <c r="D7" s="64"/>
      <c r="E7" s="65"/>
      <c r="H7" s="19"/>
      <c r="I7" s="29"/>
    </row>
    <row r="8" spans="1:11" ht="20.100000000000001" customHeight="1" x14ac:dyDescent="0.25">
      <c r="A8" s="120" t="s">
        <v>68</v>
      </c>
      <c r="B8" s="178">
        <v>0.1</v>
      </c>
      <c r="C8" s="8"/>
      <c r="D8" s="66"/>
      <c r="E8" s="21"/>
      <c r="H8" s="20"/>
      <c r="I8" s="30"/>
    </row>
    <row r="9" spans="1:11" ht="20.100000000000001" customHeight="1" x14ac:dyDescent="0.25">
      <c r="A9" s="120" t="s">
        <v>69</v>
      </c>
      <c r="B9" s="214">
        <v>0.05</v>
      </c>
      <c r="C9" s="4"/>
    </row>
    <row r="10" spans="1:11" ht="20.100000000000001" customHeight="1" x14ac:dyDescent="0.25">
      <c r="A10" s="120" t="s">
        <v>70</v>
      </c>
      <c r="B10" s="214">
        <v>0.03</v>
      </c>
      <c r="C10" s="4"/>
    </row>
    <row r="11" spans="1:11" ht="20.100000000000001" customHeight="1" x14ac:dyDescent="0.25">
      <c r="A11" s="61" t="s">
        <v>0</v>
      </c>
      <c r="B11" s="215">
        <f>SUM(B5:B10)</f>
        <v>0.99600000000000011</v>
      </c>
    </row>
    <row r="12" spans="1:11" ht="20.100000000000001" customHeight="1" x14ac:dyDescent="0.25"/>
    <row r="13" spans="1:11" ht="20.100000000000001" customHeight="1" x14ac:dyDescent="0.25"/>
    <row r="14" spans="1:11" ht="15.75" x14ac:dyDescent="0.25">
      <c r="A14" s="1"/>
      <c r="B14" s="19"/>
      <c r="C14" s="8"/>
      <c r="D14" s="26"/>
      <c r="E14" s="21"/>
    </row>
    <row r="15" spans="1:11" ht="15.75" x14ac:dyDescent="0.25">
      <c r="A15" s="1"/>
      <c r="B15" s="19"/>
      <c r="C15" s="8"/>
      <c r="D15" s="7"/>
      <c r="E15" s="21"/>
    </row>
    <row r="16" spans="1:11" ht="15.75" x14ac:dyDescent="0.25">
      <c r="A16" s="1"/>
      <c r="B16" s="19"/>
      <c r="C16" s="8"/>
      <c r="D16" s="26"/>
      <c r="E16" s="21"/>
    </row>
    <row r="17" spans="1:5" ht="15.75" x14ac:dyDescent="0.25">
      <c r="A17" s="1"/>
      <c r="B17" s="20"/>
      <c r="C17" s="21"/>
      <c r="D17" s="22"/>
      <c r="E17" s="21"/>
    </row>
    <row r="18" spans="1:5" x14ac:dyDescent="0.25">
      <c r="B18" t="s">
        <v>34</v>
      </c>
    </row>
  </sheetData>
  <mergeCells count="1">
    <mergeCell ref="A2:B2"/>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58432-47DF-4F7B-9D74-8F021D7E9D3A}">
  <dimension ref="A1:K18"/>
  <sheetViews>
    <sheetView workbookViewId="0">
      <selection activeCell="D14" sqref="D14"/>
    </sheetView>
  </sheetViews>
  <sheetFormatPr defaultRowHeight="15" x14ac:dyDescent="0.25"/>
  <cols>
    <col min="1" max="1" width="49.42578125" customWidth="1"/>
    <col min="2" max="2" width="30.85546875" customWidth="1"/>
    <col min="3" max="3" width="27.7109375" customWidth="1"/>
    <col min="4" max="4" width="18.28515625" customWidth="1"/>
    <col min="5" max="5" width="24.5703125" customWidth="1"/>
    <col min="7" max="7" width="11.5703125" customWidth="1"/>
  </cols>
  <sheetData>
    <row r="1" spans="1:11" ht="20.100000000000001" customHeight="1" x14ac:dyDescent="0.25">
      <c r="A1" s="1" t="s">
        <v>211</v>
      </c>
      <c r="B1" s="1"/>
      <c r="C1" s="1"/>
      <c r="D1" s="1"/>
      <c r="E1" s="1"/>
      <c r="F1" s="1"/>
      <c r="G1" s="1"/>
    </row>
    <row r="2" spans="1:11" ht="58.5" customHeight="1" x14ac:dyDescent="0.25">
      <c r="A2" s="239" t="s">
        <v>135</v>
      </c>
      <c r="B2" s="239"/>
      <c r="C2" s="239"/>
      <c r="D2" s="134"/>
      <c r="E2" s="134"/>
    </row>
    <row r="3" spans="1:11" ht="15.6" customHeight="1" x14ac:dyDescent="0.25">
      <c r="A3" s="134"/>
      <c r="B3" s="134"/>
      <c r="C3" s="134"/>
      <c r="D3" s="134"/>
      <c r="E3" s="134"/>
    </row>
    <row r="4" spans="1:11" ht="33.6" customHeight="1" x14ac:dyDescent="0.25">
      <c r="A4" s="235" t="s">
        <v>71</v>
      </c>
      <c r="B4" s="185" t="s">
        <v>92</v>
      </c>
      <c r="C4" s="186" t="s">
        <v>93</v>
      </c>
      <c r="D4" s="57"/>
      <c r="E4" s="55"/>
    </row>
    <row r="5" spans="1:11" ht="20.100000000000001" customHeight="1" x14ac:dyDescent="0.25">
      <c r="A5" s="236">
        <v>28</v>
      </c>
      <c r="B5" s="237">
        <v>17</v>
      </c>
      <c r="C5" s="238">
        <v>0.6071428571428571</v>
      </c>
      <c r="D5" s="1"/>
      <c r="E5" s="54"/>
    </row>
    <row r="6" spans="1:11" ht="20.100000000000001" customHeight="1" x14ac:dyDescent="0.25">
      <c r="A6" s="1"/>
      <c r="B6" s="19"/>
      <c r="C6" s="8"/>
      <c r="D6" s="64"/>
      <c r="E6" s="65"/>
      <c r="H6" s="19"/>
      <c r="I6" s="29"/>
    </row>
    <row r="7" spans="1:11" ht="20.100000000000001" customHeight="1" x14ac:dyDescent="0.25">
      <c r="A7" s="1"/>
      <c r="B7" s="19"/>
      <c r="C7" s="8"/>
      <c r="D7" s="64"/>
      <c r="E7" s="65"/>
      <c r="H7" s="19"/>
      <c r="I7" s="29"/>
      <c r="K7" s="63"/>
    </row>
    <row r="8" spans="1:11" ht="20.100000000000001" customHeight="1" x14ac:dyDescent="0.25">
      <c r="A8" s="1"/>
      <c r="B8" s="19"/>
      <c r="C8" s="8"/>
      <c r="D8" s="64"/>
      <c r="E8" s="65"/>
      <c r="H8" s="19"/>
      <c r="I8" s="29"/>
    </row>
    <row r="9" spans="1:11" ht="20.100000000000001" customHeight="1" x14ac:dyDescent="0.25">
      <c r="A9" s="1"/>
      <c r="B9" s="20"/>
      <c r="C9" s="21"/>
      <c r="D9" s="66"/>
      <c r="E9" s="21"/>
      <c r="H9" s="20"/>
      <c r="I9" s="30"/>
    </row>
    <row r="10" spans="1:11" ht="20.100000000000001" customHeight="1" x14ac:dyDescent="0.25">
      <c r="A10" s="9"/>
    </row>
    <row r="11" spans="1:11" ht="20.100000000000001" customHeight="1" x14ac:dyDescent="0.25"/>
    <row r="12" spans="1:11" ht="20.100000000000001" customHeight="1" x14ac:dyDescent="0.25"/>
    <row r="13" spans="1:11" ht="20.100000000000001" customHeight="1" x14ac:dyDescent="0.25"/>
    <row r="14" spans="1:11" ht="20.100000000000001" customHeight="1" x14ac:dyDescent="0.25"/>
    <row r="15" spans="1:11" ht="15.75" x14ac:dyDescent="0.25">
      <c r="A15" s="1"/>
      <c r="B15" s="19"/>
      <c r="C15" s="8"/>
      <c r="D15" s="26"/>
      <c r="E15" s="21"/>
    </row>
    <row r="16" spans="1:11" ht="15.75" x14ac:dyDescent="0.25">
      <c r="A16" s="1"/>
      <c r="B16" s="19"/>
      <c r="C16" s="8"/>
      <c r="D16" s="7"/>
      <c r="E16" s="21"/>
    </row>
    <row r="17" spans="1:5" ht="15.75" x14ac:dyDescent="0.25">
      <c r="A17" s="1"/>
      <c r="B17" s="19"/>
      <c r="C17" s="8"/>
      <c r="D17" s="26"/>
      <c r="E17" s="21"/>
    </row>
    <row r="18" spans="1:5" ht="15.75" x14ac:dyDescent="0.25">
      <c r="A18" s="1"/>
      <c r="B18" s="20"/>
      <c r="C18" s="21"/>
      <c r="D18" s="22"/>
      <c r="E18" s="21"/>
    </row>
  </sheetData>
  <mergeCells count="1">
    <mergeCell ref="A2:C2"/>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E735C-4DD0-46CB-A6B9-ADB507ED0628}">
  <sheetPr codeName="Sheet19"/>
  <dimension ref="A1:H28"/>
  <sheetViews>
    <sheetView workbookViewId="0">
      <selection activeCell="F12" sqref="F12"/>
    </sheetView>
  </sheetViews>
  <sheetFormatPr defaultRowHeight="15" x14ac:dyDescent="0.25"/>
  <cols>
    <col min="1" max="1" width="30.140625" customWidth="1"/>
    <col min="2" max="2" width="26.140625" customWidth="1"/>
    <col min="3" max="3" width="36.28515625" customWidth="1"/>
  </cols>
  <sheetData>
    <row r="1" spans="1:8" ht="15.75" x14ac:dyDescent="0.25">
      <c r="A1" s="1" t="s">
        <v>212</v>
      </c>
      <c r="B1" s="1"/>
      <c r="C1" s="1"/>
    </row>
    <row r="2" spans="1:8" ht="84.6" customHeight="1" x14ac:dyDescent="0.25">
      <c r="A2" s="239" t="s">
        <v>213</v>
      </c>
      <c r="B2" s="239"/>
      <c r="C2" s="239"/>
      <c r="D2" s="62"/>
      <c r="E2" s="62"/>
    </row>
    <row r="3" spans="1:8" ht="15" customHeight="1" x14ac:dyDescent="0.25">
      <c r="A3" s="134"/>
      <c r="B3" s="134"/>
      <c r="C3" s="134"/>
      <c r="D3" s="62"/>
      <c r="E3" s="62"/>
    </row>
    <row r="4" spans="1:8" ht="20.100000000000001" customHeight="1" x14ac:dyDescent="0.25">
      <c r="A4" s="58" t="s">
        <v>127</v>
      </c>
      <c r="B4" s="184" t="s">
        <v>128</v>
      </c>
      <c r="C4" s="151" t="s">
        <v>129</v>
      </c>
    </row>
    <row r="5" spans="1:8" ht="20.100000000000001" customHeight="1" x14ac:dyDescent="0.25">
      <c r="A5" s="72" t="s">
        <v>75</v>
      </c>
      <c r="B5" s="19">
        <v>50</v>
      </c>
      <c r="C5" s="234">
        <v>0.11210762331838565</v>
      </c>
    </row>
    <row r="6" spans="1:8" ht="20.100000000000001" customHeight="1" x14ac:dyDescent="0.25">
      <c r="A6" s="72" t="s">
        <v>76</v>
      </c>
      <c r="B6" s="19">
        <v>18</v>
      </c>
      <c r="C6" s="234">
        <v>4.0358744394618833E-2</v>
      </c>
    </row>
    <row r="7" spans="1:8" ht="20.100000000000001" customHeight="1" x14ac:dyDescent="0.25">
      <c r="A7" s="72" t="s">
        <v>77</v>
      </c>
      <c r="B7" s="19">
        <v>4</v>
      </c>
      <c r="C7" s="234">
        <v>8.9686098654708519E-3</v>
      </c>
    </row>
    <row r="8" spans="1:8" ht="20.100000000000001" customHeight="1" x14ac:dyDescent="0.25">
      <c r="A8" s="72" t="s">
        <v>78</v>
      </c>
      <c r="B8" s="19">
        <v>6</v>
      </c>
      <c r="C8" s="234">
        <v>1.3452914798206279E-2</v>
      </c>
    </row>
    <row r="9" spans="1:8" ht="20.100000000000001" customHeight="1" x14ac:dyDescent="0.25">
      <c r="A9" s="72" t="s">
        <v>73</v>
      </c>
      <c r="B9" s="19">
        <v>260</v>
      </c>
      <c r="C9" s="234">
        <v>0.5829596412556054</v>
      </c>
    </row>
    <row r="10" spans="1:8" ht="20.100000000000001" customHeight="1" x14ac:dyDescent="0.25">
      <c r="A10" s="72" t="s">
        <v>72</v>
      </c>
      <c r="B10" s="19">
        <v>86</v>
      </c>
      <c r="C10" s="234">
        <v>0.19282511210762332</v>
      </c>
      <c r="H10" t="s">
        <v>34</v>
      </c>
    </row>
    <row r="11" spans="1:8" ht="20.100000000000001" customHeight="1" x14ac:dyDescent="0.25">
      <c r="A11" s="72" t="s">
        <v>84</v>
      </c>
      <c r="B11" s="19">
        <v>2</v>
      </c>
      <c r="C11" s="234">
        <v>4.4843049327354259E-3</v>
      </c>
    </row>
    <row r="12" spans="1:8" ht="20.100000000000001" customHeight="1" x14ac:dyDescent="0.25">
      <c r="A12" s="72" t="s">
        <v>79</v>
      </c>
      <c r="B12" s="19">
        <v>7</v>
      </c>
      <c r="C12" s="234">
        <v>1.5695067264573991E-2</v>
      </c>
    </row>
    <row r="13" spans="1:8" ht="20.100000000000001" customHeight="1" x14ac:dyDescent="0.25">
      <c r="A13" s="120" t="s">
        <v>94</v>
      </c>
      <c r="B13" s="19">
        <v>1</v>
      </c>
      <c r="C13" s="234">
        <v>2.242152466367713E-3</v>
      </c>
    </row>
    <row r="14" spans="1:8" ht="20.100000000000001" customHeight="1" x14ac:dyDescent="0.25">
      <c r="A14" s="72" t="s">
        <v>74</v>
      </c>
      <c r="B14" s="19">
        <v>12</v>
      </c>
      <c r="C14" s="234">
        <v>2.6905829596412557E-2</v>
      </c>
    </row>
    <row r="15" spans="1:8" ht="20.100000000000001" customHeight="1" x14ac:dyDescent="0.25">
      <c r="A15" s="61" t="s">
        <v>0</v>
      </c>
      <c r="B15" s="180">
        <f>SUM(B5:B14)</f>
        <v>446</v>
      </c>
      <c r="C15" s="183">
        <f>SUM(C5:C14)</f>
        <v>1</v>
      </c>
    </row>
    <row r="16" spans="1:8" x14ac:dyDescent="0.25">
      <c r="A16" s="9"/>
    </row>
    <row r="17" spans="1:3" ht="15.75" x14ac:dyDescent="0.25">
      <c r="A17" s="55"/>
      <c r="B17" s="55"/>
      <c r="C17" s="55"/>
    </row>
    <row r="18" spans="1:3" ht="15.75" x14ac:dyDescent="0.25">
      <c r="A18" s="68"/>
      <c r="B18" s="19"/>
      <c r="C18" s="216"/>
    </row>
    <row r="19" spans="1:3" ht="15.75" x14ac:dyDescent="0.25">
      <c r="A19" s="68"/>
      <c r="B19" s="19"/>
      <c r="C19" s="216"/>
    </row>
    <row r="20" spans="1:3" ht="15.75" x14ac:dyDescent="0.25">
      <c r="A20" s="68"/>
      <c r="B20" s="19"/>
      <c r="C20" s="216"/>
    </row>
    <row r="21" spans="1:3" ht="15.75" x14ac:dyDescent="0.25">
      <c r="A21" s="68"/>
      <c r="B21" s="19"/>
      <c r="C21" s="145"/>
    </row>
    <row r="22" spans="1:3" ht="15.75" x14ac:dyDescent="0.25">
      <c r="A22" s="68"/>
      <c r="B22" s="19"/>
      <c r="C22" s="145"/>
    </row>
    <row r="23" spans="1:3" ht="15.75" x14ac:dyDescent="0.25">
      <c r="A23" s="68"/>
      <c r="B23" s="19"/>
      <c r="C23" s="145"/>
    </row>
    <row r="24" spans="1:3" ht="15.75" x14ac:dyDescent="0.25">
      <c r="A24" s="68"/>
      <c r="B24" s="19"/>
      <c r="C24" s="145"/>
    </row>
    <row r="25" spans="1:3" ht="15.75" x14ac:dyDescent="0.25">
      <c r="A25" s="68"/>
      <c r="B25" s="19"/>
      <c r="C25" s="145"/>
    </row>
    <row r="26" spans="1:3" ht="15.75" x14ac:dyDescent="0.25">
      <c r="A26" s="4"/>
      <c r="B26" s="19"/>
      <c r="C26" s="145"/>
    </row>
    <row r="27" spans="1:3" ht="15.75" x14ac:dyDescent="0.25">
      <c r="A27" s="68"/>
      <c r="B27" s="19"/>
      <c r="C27" s="145"/>
    </row>
    <row r="28" spans="1:3" ht="15.75" x14ac:dyDescent="0.25">
      <c r="A28" s="1"/>
      <c r="B28" s="20"/>
      <c r="C28" s="146"/>
    </row>
  </sheetData>
  <mergeCells count="1">
    <mergeCell ref="A2:C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D6568-62A7-4DF5-89CE-F25513092259}">
  <sheetPr codeName="Sheet21"/>
  <dimension ref="A1:G18"/>
  <sheetViews>
    <sheetView workbookViewId="0">
      <selection activeCell="C21" sqref="C21"/>
    </sheetView>
  </sheetViews>
  <sheetFormatPr defaultColWidth="8.7109375" defaultRowHeight="15" x14ac:dyDescent="0.25"/>
  <cols>
    <col min="1" max="1" width="29.5703125" style="69" customWidth="1"/>
    <col min="2" max="2" width="25.85546875" style="69" customWidth="1"/>
    <col min="3" max="3" width="34.85546875" style="69" customWidth="1"/>
    <col min="4" max="4" width="28" style="69" customWidth="1"/>
    <col min="5" max="5" width="13.140625" style="69" bestFit="1" customWidth="1"/>
    <col min="6" max="6" width="30.5703125" style="69" bestFit="1" customWidth="1"/>
    <col min="7" max="7" width="13.28515625" style="69" bestFit="1" customWidth="1"/>
    <col min="8" max="8" width="11.7109375" style="69" bestFit="1" customWidth="1"/>
    <col min="9" max="9" width="5.28515625" style="69" bestFit="1" customWidth="1"/>
    <col min="10" max="10" width="10.7109375" style="69" bestFit="1" customWidth="1"/>
    <col min="11" max="16384" width="8.7109375" style="69"/>
  </cols>
  <sheetData>
    <row r="1" spans="1:7" ht="20.100000000000001" customHeight="1" x14ac:dyDescent="0.25">
      <c r="A1" s="67" t="s">
        <v>214</v>
      </c>
      <c r="G1" s="135"/>
    </row>
    <row r="2" spans="1:7" ht="87" customHeight="1" x14ac:dyDescent="0.25">
      <c r="A2" s="239" t="s">
        <v>213</v>
      </c>
      <c r="B2" s="239"/>
      <c r="C2" s="239"/>
      <c r="G2" s="135"/>
    </row>
    <row r="3" spans="1:7" ht="21" customHeight="1" x14ac:dyDescent="0.25">
      <c r="A3" s="137"/>
      <c r="B3" s="137"/>
      <c r="C3" s="137"/>
      <c r="G3" s="135"/>
    </row>
    <row r="4" spans="1:7" ht="20.100000000000001" customHeight="1" x14ac:dyDescent="0.25">
      <c r="A4" s="121" t="s">
        <v>130</v>
      </c>
      <c r="B4" s="154" t="s">
        <v>128</v>
      </c>
      <c r="C4" s="155" t="s">
        <v>129</v>
      </c>
    </row>
    <row r="5" spans="1:7" ht="20.100000000000001" customHeight="1" x14ac:dyDescent="0.25">
      <c r="A5" s="72" t="s">
        <v>16</v>
      </c>
      <c r="B5" s="156">
        <v>262</v>
      </c>
      <c r="C5" s="163">
        <f>B5/$B$9</f>
        <v>0.58744394618834084</v>
      </c>
    </row>
    <row r="6" spans="1:7" ht="20.100000000000001" customHeight="1" x14ac:dyDescent="0.25">
      <c r="A6" s="72" t="s">
        <v>17</v>
      </c>
      <c r="B6" s="156">
        <v>130</v>
      </c>
      <c r="C6" s="163">
        <f t="shared" ref="C6:C8" si="0">B6/$B$9</f>
        <v>0.2914798206278027</v>
      </c>
    </row>
    <row r="7" spans="1:7" ht="20.100000000000001" customHeight="1" x14ac:dyDescent="0.25">
      <c r="A7" s="72" t="s">
        <v>18</v>
      </c>
      <c r="B7" s="156">
        <v>32</v>
      </c>
      <c r="C7" s="163">
        <f t="shared" si="0"/>
        <v>7.1748878923766815E-2</v>
      </c>
    </row>
    <row r="8" spans="1:7" ht="20.100000000000001" customHeight="1" x14ac:dyDescent="0.25">
      <c r="A8" s="72" t="s">
        <v>19</v>
      </c>
      <c r="B8" s="156">
        <v>22</v>
      </c>
      <c r="C8" s="163">
        <f t="shared" si="0"/>
        <v>4.9327354260089683E-2</v>
      </c>
    </row>
    <row r="9" spans="1:7" ht="20.100000000000001" customHeight="1" x14ac:dyDescent="0.25">
      <c r="A9" s="60" t="s">
        <v>0</v>
      </c>
      <c r="B9" s="160">
        <f>SUM(B5:B8)</f>
        <v>446</v>
      </c>
      <c r="C9" s="166">
        <f>SUM(C5:C8)</f>
        <v>1</v>
      </c>
    </row>
    <row r="10" spans="1:7" ht="20.100000000000001" customHeight="1" x14ac:dyDescent="0.25"/>
    <row r="11" spans="1:7" ht="20.100000000000001" customHeight="1" x14ac:dyDescent="0.25">
      <c r="A11" s="78"/>
      <c r="B11" s="78"/>
      <c r="C11" s="78"/>
    </row>
    <row r="12" spans="1:7" ht="20.100000000000001" customHeight="1" x14ac:dyDescent="0.25">
      <c r="A12" s="68"/>
      <c r="B12" s="156"/>
      <c r="C12" s="217"/>
    </row>
    <row r="13" spans="1:7" ht="20.100000000000001" customHeight="1" x14ac:dyDescent="0.25">
      <c r="A13" s="68"/>
      <c r="B13" s="156"/>
      <c r="C13" s="217"/>
    </row>
    <row r="14" spans="1:7" ht="20.100000000000001" customHeight="1" x14ac:dyDescent="0.25">
      <c r="A14" s="68"/>
      <c r="B14" s="156"/>
      <c r="C14" s="217"/>
    </row>
    <row r="15" spans="1:7" ht="20.100000000000001" customHeight="1" x14ac:dyDescent="0.25">
      <c r="A15" s="68"/>
      <c r="B15" s="156"/>
      <c r="C15" s="217"/>
    </row>
    <row r="16" spans="1:7" ht="20.100000000000001" customHeight="1" x14ac:dyDescent="0.25">
      <c r="A16" s="67"/>
      <c r="B16" s="147"/>
      <c r="C16" s="148"/>
    </row>
    <row r="17" ht="20.100000000000001" customHeight="1" x14ac:dyDescent="0.25"/>
    <row r="18" ht="20.100000000000001" customHeight="1" x14ac:dyDescent="0.25"/>
  </sheetData>
  <mergeCells count="1">
    <mergeCell ref="A2:C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3BF99-E02F-4891-991C-3574FFF920F1}">
  <sheetPr codeName="Sheet22"/>
  <dimension ref="A1:C19"/>
  <sheetViews>
    <sheetView workbookViewId="0">
      <selection activeCell="C15" sqref="C15"/>
    </sheetView>
  </sheetViews>
  <sheetFormatPr defaultColWidth="8.7109375" defaultRowHeight="15" x14ac:dyDescent="0.25"/>
  <cols>
    <col min="1" max="1" width="24.28515625" style="69" customWidth="1"/>
    <col min="2" max="2" width="25.140625" style="69" customWidth="1"/>
    <col min="3" max="3" width="36.5703125" style="69" customWidth="1"/>
    <col min="4" max="4" width="13.7109375" style="69" customWidth="1"/>
    <col min="5" max="5" width="18.28515625" style="69" bestFit="1" customWidth="1"/>
    <col min="6" max="6" width="28.28515625" style="69" bestFit="1" customWidth="1"/>
    <col min="7" max="16384" width="8.7109375" style="69"/>
  </cols>
  <sheetData>
    <row r="1" spans="1:3" ht="15.75" x14ac:dyDescent="0.25">
      <c r="A1" s="67" t="s">
        <v>215</v>
      </c>
    </row>
    <row r="2" spans="1:3" ht="86.45" customHeight="1" x14ac:dyDescent="0.25">
      <c r="A2" s="239" t="s">
        <v>213</v>
      </c>
      <c r="B2" s="239"/>
      <c r="C2" s="239"/>
    </row>
    <row r="3" spans="1:3" ht="24.6" customHeight="1" x14ac:dyDescent="0.25">
      <c r="A3" s="137"/>
      <c r="B3" s="137"/>
      <c r="C3" s="137"/>
    </row>
    <row r="4" spans="1:3" ht="20.100000000000001" customHeight="1" x14ac:dyDescent="0.25">
      <c r="A4" s="60" t="s">
        <v>131</v>
      </c>
      <c r="B4" s="154" t="s">
        <v>128</v>
      </c>
      <c r="C4" s="155" t="s">
        <v>129</v>
      </c>
    </row>
    <row r="5" spans="1:3" ht="20.100000000000001" customHeight="1" x14ac:dyDescent="0.25">
      <c r="A5" s="72" t="s">
        <v>30</v>
      </c>
      <c r="B5" s="156">
        <v>32</v>
      </c>
      <c r="C5" s="157">
        <v>7.1748878923766815E-2</v>
      </c>
    </row>
    <row r="6" spans="1:3" ht="20.100000000000001" customHeight="1" x14ac:dyDescent="0.25">
      <c r="A6" s="72" t="s">
        <v>1</v>
      </c>
      <c r="B6" s="156">
        <v>355</v>
      </c>
      <c r="C6" s="157">
        <v>0.79596412556053808</v>
      </c>
    </row>
    <row r="7" spans="1:3" ht="20.100000000000001" customHeight="1" x14ac:dyDescent="0.25">
      <c r="A7" s="72" t="s">
        <v>2</v>
      </c>
      <c r="B7" s="156">
        <v>59</v>
      </c>
      <c r="C7" s="157">
        <v>0.13228699551569506</v>
      </c>
    </row>
    <row r="8" spans="1:3" ht="20.100000000000001" customHeight="1" x14ac:dyDescent="0.25">
      <c r="A8" s="72" t="s">
        <v>35</v>
      </c>
      <c r="B8" s="156">
        <v>0</v>
      </c>
      <c r="C8" s="157">
        <v>0</v>
      </c>
    </row>
    <row r="9" spans="1:3" ht="20.100000000000001" customHeight="1" x14ac:dyDescent="0.25">
      <c r="A9" s="60" t="s">
        <v>0</v>
      </c>
      <c r="B9" s="160">
        <f>SUM(B5:B8)</f>
        <v>446</v>
      </c>
      <c r="C9" s="161">
        <f>SUM(C5:C8)</f>
        <v>1</v>
      </c>
    </row>
    <row r="10" spans="1:3" ht="20.100000000000001" customHeight="1" x14ac:dyDescent="0.25">
      <c r="A10" s="113"/>
    </row>
    <row r="11" spans="1:3" ht="20.100000000000001" customHeight="1" x14ac:dyDescent="0.25"/>
    <row r="12" spans="1:3" ht="20.100000000000001" customHeight="1" x14ac:dyDescent="0.25"/>
    <row r="13" spans="1:3" ht="20.100000000000001" customHeight="1" x14ac:dyDescent="0.25"/>
    <row r="14" spans="1:3" ht="20.100000000000001" customHeight="1" x14ac:dyDescent="0.25"/>
    <row r="15" spans="1:3" ht="20.100000000000001" customHeight="1" x14ac:dyDescent="0.25"/>
    <row r="16" spans="1:3" ht="20.100000000000001" customHeight="1" x14ac:dyDescent="0.25"/>
    <row r="17" ht="20.100000000000001" customHeight="1" x14ac:dyDescent="0.25"/>
    <row r="18" ht="20.100000000000001" customHeight="1" x14ac:dyDescent="0.25"/>
    <row r="19" ht="20.100000000000001" customHeight="1" x14ac:dyDescent="0.25"/>
  </sheetData>
  <mergeCells count="1">
    <mergeCell ref="A2:C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09405-A998-4962-8D36-205884E28D0A}">
  <dimension ref="A1:E51"/>
  <sheetViews>
    <sheetView workbookViewId="0">
      <selection activeCell="E16" sqref="E16"/>
    </sheetView>
  </sheetViews>
  <sheetFormatPr defaultColWidth="8.7109375" defaultRowHeight="15" x14ac:dyDescent="0.2"/>
  <cols>
    <col min="1" max="1" width="32.28515625" style="4" customWidth="1"/>
    <col min="2" max="2" width="16.42578125" style="4" customWidth="1"/>
    <col min="3" max="3" width="16.85546875" style="4" customWidth="1"/>
    <col min="4" max="4" width="23" style="4" customWidth="1"/>
    <col min="5" max="5" width="25.5703125" style="4" customWidth="1"/>
    <col min="6" max="16384" width="8.7109375" style="4"/>
  </cols>
  <sheetData>
    <row r="1" spans="1:5" ht="15.75" x14ac:dyDescent="0.25">
      <c r="A1" s="1" t="s">
        <v>203</v>
      </c>
      <c r="B1" s="1"/>
    </row>
    <row r="2" spans="1:5" ht="80.25" customHeight="1" x14ac:dyDescent="0.2">
      <c r="A2" s="239" t="s">
        <v>202</v>
      </c>
      <c r="B2" s="239"/>
      <c r="C2" s="239"/>
      <c r="D2" s="239"/>
      <c r="E2" s="239"/>
    </row>
    <row r="3" spans="1:5" ht="21.6" customHeight="1" x14ac:dyDescent="0.2">
      <c r="A3" s="134"/>
      <c r="B3" s="134"/>
      <c r="C3" s="134"/>
      <c r="D3" s="134"/>
      <c r="E3" s="134"/>
    </row>
    <row r="4" spans="1:5" ht="15.75" x14ac:dyDescent="0.25">
      <c r="A4" s="58" t="s">
        <v>188</v>
      </c>
      <c r="B4" s="184" t="s">
        <v>189</v>
      </c>
      <c r="C4" s="185" t="s">
        <v>187</v>
      </c>
      <c r="D4" s="185" t="s">
        <v>186</v>
      </c>
      <c r="E4" s="186" t="s">
        <v>185</v>
      </c>
    </row>
    <row r="5" spans="1:5" x14ac:dyDescent="0.2">
      <c r="A5" s="123" t="s">
        <v>184</v>
      </c>
      <c r="B5" s="218">
        <v>2019</v>
      </c>
      <c r="C5" s="218" t="s">
        <v>72</v>
      </c>
      <c r="D5" s="218" t="s">
        <v>2</v>
      </c>
      <c r="E5" s="219" t="s">
        <v>150</v>
      </c>
    </row>
    <row r="6" spans="1:5" x14ac:dyDescent="0.2">
      <c r="A6" s="123" t="s">
        <v>183</v>
      </c>
      <c r="B6" s="218">
        <v>2019</v>
      </c>
      <c r="C6" s="218" t="s">
        <v>73</v>
      </c>
      <c r="D6" s="218" t="s">
        <v>156</v>
      </c>
      <c r="E6" s="219" t="s">
        <v>137</v>
      </c>
    </row>
    <row r="7" spans="1:5" x14ac:dyDescent="0.2">
      <c r="A7" s="123" t="s">
        <v>182</v>
      </c>
      <c r="B7" s="218">
        <v>2024</v>
      </c>
      <c r="C7" s="143" t="s">
        <v>73</v>
      </c>
      <c r="D7" s="142" t="s">
        <v>138</v>
      </c>
      <c r="E7" s="219" t="s">
        <v>150</v>
      </c>
    </row>
    <row r="8" spans="1:5" x14ac:dyDescent="0.2">
      <c r="A8" s="123" t="s">
        <v>22</v>
      </c>
      <c r="B8" s="218">
        <v>2020</v>
      </c>
      <c r="C8" s="138" t="s">
        <v>72</v>
      </c>
      <c r="D8" s="140" t="s">
        <v>138</v>
      </c>
      <c r="E8" s="219" t="s">
        <v>137</v>
      </c>
    </row>
    <row r="9" spans="1:5" x14ac:dyDescent="0.2">
      <c r="A9" s="123" t="s">
        <v>181</v>
      </c>
      <c r="B9" s="218">
        <v>2019</v>
      </c>
      <c r="C9" s="218" t="s">
        <v>74</v>
      </c>
      <c r="D9" s="218" t="s">
        <v>138</v>
      </c>
      <c r="E9" s="219" t="s">
        <v>137</v>
      </c>
    </row>
    <row r="10" spans="1:5" x14ac:dyDescent="0.2">
      <c r="A10" s="123" t="s">
        <v>180</v>
      </c>
      <c r="B10" s="218">
        <v>2021</v>
      </c>
      <c r="C10" s="218" t="s">
        <v>72</v>
      </c>
      <c r="D10" s="141" t="s">
        <v>2</v>
      </c>
      <c r="E10" s="219" t="s">
        <v>137</v>
      </c>
    </row>
    <row r="11" spans="1:5" x14ac:dyDescent="0.2">
      <c r="A11" s="123" t="s">
        <v>28</v>
      </c>
      <c r="B11" s="218">
        <v>2019</v>
      </c>
      <c r="C11" s="218" t="s">
        <v>72</v>
      </c>
      <c r="D11" s="141" t="s">
        <v>156</v>
      </c>
      <c r="E11" s="219" t="s">
        <v>137</v>
      </c>
    </row>
    <row r="12" spans="1:5" x14ac:dyDescent="0.2">
      <c r="A12" s="123" t="s">
        <v>179</v>
      </c>
      <c r="B12" s="218">
        <v>2022</v>
      </c>
      <c r="C12" s="218" t="s">
        <v>72</v>
      </c>
      <c r="D12" s="141" t="s">
        <v>138</v>
      </c>
      <c r="E12" s="139" t="s">
        <v>137</v>
      </c>
    </row>
    <row r="13" spans="1:5" x14ac:dyDescent="0.2">
      <c r="A13" s="123" t="s">
        <v>178</v>
      </c>
      <c r="B13" s="218">
        <v>2017</v>
      </c>
      <c r="C13" s="218" t="s">
        <v>73</v>
      </c>
      <c r="D13" s="218" t="s">
        <v>138</v>
      </c>
      <c r="E13" s="219" t="s">
        <v>16</v>
      </c>
    </row>
    <row r="14" spans="1:5" x14ac:dyDescent="0.2">
      <c r="A14" s="123" t="s">
        <v>177</v>
      </c>
      <c r="B14" s="218">
        <v>2021</v>
      </c>
      <c r="C14" s="218" t="s">
        <v>73</v>
      </c>
      <c r="D14" s="218" t="s">
        <v>138</v>
      </c>
      <c r="E14" s="219" t="s">
        <v>16</v>
      </c>
    </row>
    <row r="15" spans="1:5" x14ac:dyDescent="0.2">
      <c r="A15" s="123" t="s">
        <v>176</v>
      </c>
      <c r="B15" s="218">
        <v>2020</v>
      </c>
      <c r="C15" s="218" t="s">
        <v>73</v>
      </c>
      <c r="D15" s="218" t="s">
        <v>138</v>
      </c>
      <c r="E15" s="219" t="s">
        <v>16</v>
      </c>
    </row>
    <row r="16" spans="1:5" x14ac:dyDescent="0.2">
      <c r="A16" s="123" t="s">
        <v>175</v>
      </c>
      <c r="B16" s="218">
        <v>2021</v>
      </c>
      <c r="C16" s="218" t="s">
        <v>73</v>
      </c>
      <c r="D16" s="218" t="s">
        <v>138</v>
      </c>
      <c r="E16" s="139" t="s">
        <v>16</v>
      </c>
    </row>
    <row r="17" spans="1:5" x14ac:dyDescent="0.2">
      <c r="A17" s="123" t="s">
        <v>174</v>
      </c>
      <c r="B17" s="218">
        <v>2021</v>
      </c>
      <c r="C17" s="218" t="s">
        <v>73</v>
      </c>
      <c r="D17" s="218" t="s">
        <v>138</v>
      </c>
      <c r="E17" s="219" t="s">
        <v>144</v>
      </c>
    </row>
    <row r="18" spans="1:5" x14ac:dyDescent="0.2">
      <c r="A18" s="123" t="s">
        <v>173</v>
      </c>
      <c r="B18" s="218">
        <v>2019</v>
      </c>
      <c r="C18" s="218" t="s">
        <v>73</v>
      </c>
      <c r="D18" s="141" t="s">
        <v>138</v>
      </c>
      <c r="E18" s="139" t="s">
        <v>150</v>
      </c>
    </row>
    <row r="19" spans="1:5" x14ac:dyDescent="0.2">
      <c r="A19" s="123" t="s">
        <v>172</v>
      </c>
      <c r="B19" s="218">
        <v>2021</v>
      </c>
      <c r="C19" s="218" t="s">
        <v>73</v>
      </c>
      <c r="D19" s="218" t="s">
        <v>138</v>
      </c>
      <c r="E19" s="219" t="s">
        <v>150</v>
      </c>
    </row>
    <row r="20" spans="1:5" x14ac:dyDescent="0.2">
      <c r="A20" s="123" t="s">
        <v>171</v>
      </c>
      <c r="B20" s="218">
        <v>2018</v>
      </c>
      <c r="C20" s="218" t="s">
        <v>73</v>
      </c>
      <c r="D20" s="218" t="s">
        <v>138</v>
      </c>
      <c r="E20" s="219" t="s">
        <v>137</v>
      </c>
    </row>
    <row r="21" spans="1:5" x14ac:dyDescent="0.2">
      <c r="A21" s="123" t="s">
        <v>170</v>
      </c>
      <c r="B21" s="218">
        <v>2020</v>
      </c>
      <c r="C21" s="218" t="s">
        <v>73</v>
      </c>
      <c r="D21" s="218" t="s">
        <v>138</v>
      </c>
      <c r="E21" s="219" t="s">
        <v>16</v>
      </c>
    </row>
    <row r="22" spans="1:5" x14ac:dyDescent="0.2">
      <c r="A22" s="123" t="s">
        <v>169</v>
      </c>
      <c r="B22" s="218">
        <v>2020</v>
      </c>
      <c r="C22" s="218" t="s">
        <v>73</v>
      </c>
      <c r="D22" s="141" t="s">
        <v>138</v>
      </c>
      <c r="E22" s="139" t="s">
        <v>150</v>
      </c>
    </row>
    <row r="23" spans="1:5" x14ac:dyDescent="0.2">
      <c r="A23" s="123" t="s">
        <v>168</v>
      </c>
      <c r="B23" s="218">
        <v>2022</v>
      </c>
      <c r="C23" s="218" t="s">
        <v>73</v>
      </c>
      <c r="D23" s="218" t="s">
        <v>138</v>
      </c>
      <c r="E23" s="139" t="s">
        <v>137</v>
      </c>
    </row>
    <row r="24" spans="1:5" x14ac:dyDescent="0.2">
      <c r="A24" s="123" t="s">
        <v>167</v>
      </c>
      <c r="B24" s="218">
        <v>2019</v>
      </c>
      <c r="C24" s="218" t="s">
        <v>73</v>
      </c>
      <c r="D24" s="218" t="s">
        <v>138</v>
      </c>
      <c r="E24" s="219" t="s">
        <v>16</v>
      </c>
    </row>
    <row r="25" spans="1:5" x14ac:dyDescent="0.2">
      <c r="A25" s="123" t="s">
        <v>166</v>
      </c>
      <c r="B25" s="218">
        <v>2019</v>
      </c>
      <c r="C25" s="218" t="s">
        <v>73</v>
      </c>
      <c r="D25" s="218" t="s">
        <v>138</v>
      </c>
      <c r="E25" s="219" t="s">
        <v>137</v>
      </c>
    </row>
    <row r="26" spans="1:5" x14ac:dyDescent="0.2">
      <c r="A26" s="123" t="s">
        <v>165</v>
      </c>
      <c r="B26" s="218">
        <v>2018</v>
      </c>
      <c r="C26" s="218" t="s">
        <v>72</v>
      </c>
      <c r="D26" s="218" t="s">
        <v>138</v>
      </c>
      <c r="E26" s="219" t="s">
        <v>150</v>
      </c>
    </row>
    <row r="27" spans="1:5" x14ac:dyDescent="0.2">
      <c r="A27" s="123" t="s">
        <v>164</v>
      </c>
      <c r="B27" s="218">
        <v>2021</v>
      </c>
      <c r="C27" s="218" t="s">
        <v>72</v>
      </c>
      <c r="D27" s="218" t="s">
        <v>138</v>
      </c>
      <c r="E27" s="219" t="s">
        <v>150</v>
      </c>
    </row>
    <row r="28" spans="1:5" x14ac:dyDescent="0.2">
      <c r="A28" s="123" t="s">
        <v>163</v>
      </c>
      <c r="B28" s="218">
        <v>2019</v>
      </c>
      <c r="C28" s="218" t="s">
        <v>72</v>
      </c>
      <c r="D28" s="141" t="s">
        <v>138</v>
      </c>
      <c r="E28" s="139" t="s">
        <v>137</v>
      </c>
    </row>
    <row r="29" spans="1:5" x14ac:dyDescent="0.2">
      <c r="A29" s="123" t="s">
        <v>162</v>
      </c>
      <c r="B29" s="218">
        <v>2022</v>
      </c>
      <c r="C29" s="218" t="s">
        <v>72</v>
      </c>
      <c r="D29" s="218" t="s">
        <v>138</v>
      </c>
      <c r="E29" s="219" t="s">
        <v>137</v>
      </c>
    </row>
    <row r="30" spans="1:5" x14ac:dyDescent="0.2">
      <c r="A30" s="123" t="s">
        <v>161</v>
      </c>
      <c r="B30" s="218">
        <v>2021</v>
      </c>
      <c r="C30" s="218" t="s">
        <v>73</v>
      </c>
      <c r="D30" s="218" t="s">
        <v>2</v>
      </c>
      <c r="E30" s="219" t="s">
        <v>144</v>
      </c>
    </row>
    <row r="31" spans="1:5" x14ac:dyDescent="0.2">
      <c r="A31" s="123" t="s">
        <v>160</v>
      </c>
      <c r="B31" s="218">
        <v>2019</v>
      </c>
      <c r="C31" s="218" t="s">
        <v>73</v>
      </c>
      <c r="D31" s="218" t="s">
        <v>138</v>
      </c>
      <c r="E31" s="219" t="s">
        <v>150</v>
      </c>
    </row>
    <row r="32" spans="1:5" x14ac:dyDescent="0.2">
      <c r="A32" s="123" t="s">
        <v>159</v>
      </c>
      <c r="B32" s="218">
        <v>2021</v>
      </c>
      <c r="C32" s="218" t="s">
        <v>73</v>
      </c>
      <c r="D32" s="141" t="s">
        <v>138</v>
      </c>
      <c r="E32" s="139" t="s">
        <v>16</v>
      </c>
    </row>
    <row r="33" spans="1:5" x14ac:dyDescent="0.2">
      <c r="A33" s="123" t="s">
        <v>158</v>
      </c>
      <c r="B33" s="218">
        <v>2022</v>
      </c>
      <c r="C33" s="218" t="s">
        <v>73</v>
      </c>
      <c r="D33" s="218" t="s">
        <v>138</v>
      </c>
      <c r="E33" s="219" t="s">
        <v>137</v>
      </c>
    </row>
    <row r="34" spans="1:5" x14ac:dyDescent="0.2">
      <c r="A34" s="123" t="s">
        <v>157</v>
      </c>
      <c r="B34" s="218">
        <v>2021</v>
      </c>
      <c r="C34" s="138" t="s">
        <v>73</v>
      </c>
      <c r="D34" s="140" t="s">
        <v>138</v>
      </c>
      <c r="E34" s="219" t="s">
        <v>137</v>
      </c>
    </row>
    <row r="35" spans="1:5" x14ac:dyDescent="0.2">
      <c r="A35" s="123" t="s">
        <v>29</v>
      </c>
      <c r="B35" s="218">
        <v>2019</v>
      </c>
      <c r="C35" s="218" t="s">
        <v>75</v>
      </c>
      <c r="D35" s="218" t="s">
        <v>156</v>
      </c>
      <c r="E35" s="219" t="s">
        <v>144</v>
      </c>
    </row>
    <row r="36" spans="1:5" x14ac:dyDescent="0.2">
      <c r="A36" s="123" t="s">
        <v>155</v>
      </c>
      <c r="B36" s="218">
        <v>2019</v>
      </c>
      <c r="C36" s="218" t="s">
        <v>73</v>
      </c>
      <c r="D36" s="218" t="s">
        <v>138</v>
      </c>
      <c r="E36" s="219" t="s">
        <v>16</v>
      </c>
    </row>
    <row r="37" spans="1:5" x14ac:dyDescent="0.2">
      <c r="A37" s="123" t="s">
        <v>154</v>
      </c>
      <c r="B37" s="218">
        <v>2021</v>
      </c>
      <c r="C37" s="218" t="s">
        <v>73</v>
      </c>
      <c r="D37" s="218" t="s">
        <v>138</v>
      </c>
      <c r="E37" s="139" t="s">
        <v>16</v>
      </c>
    </row>
    <row r="38" spans="1:5" x14ac:dyDescent="0.2">
      <c r="A38" s="123" t="s">
        <v>26</v>
      </c>
      <c r="B38" s="218">
        <v>2019</v>
      </c>
      <c r="C38" s="218" t="s">
        <v>72</v>
      </c>
      <c r="D38" s="218" t="s">
        <v>138</v>
      </c>
      <c r="E38" s="219" t="s">
        <v>16</v>
      </c>
    </row>
    <row r="39" spans="1:5" x14ac:dyDescent="0.2">
      <c r="A39" s="123" t="s">
        <v>153</v>
      </c>
      <c r="B39" s="218">
        <v>2018</v>
      </c>
      <c r="C39" s="138" t="s">
        <v>72</v>
      </c>
      <c r="D39" s="218" t="s">
        <v>2</v>
      </c>
      <c r="E39" s="219" t="s">
        <v>137</v>
      </c>
    </row>
    <row r="40" spans="1:5" x14ac:dyDescent="0.2">
      <c r="A40" s="123" t="s">
        <v>152</v>
      </c>
      <c r="B40" s="218">
        <v>2020</v>
      </c>
      <c r="C40" s="138" t="s">
        <v>75</v>
      </c>
      <c r="D40" s="218" t="s">
        <v>138</v>
      </c>
      <c r="E40" s="219" t="s">
        <v>137</v>
      </c>
    </row>
    <row r="41" spans="1:5" x14ac:dyDescent="0.2">
      <c r="A41" s="123" t="s">
        <v>151</v>
      </c>
      <c r="B41" s="218">
        <v>2021</v>
      </c>
      <c r="C41" s="138" t="s">
        <v>75</v>
      </c>
      <c r="D41" s="218" t="s">
        <v>2</v>
      </c>
      <c r="E41" s="219" t="s">
        <v>150</v>
      </c>
    </row>
    <row r="42" spans="1:5" x14ac:dyDescent="0.2">
      <c r="A42" s="123" t="s">
        <v>149</v>
      </c>
      <c r="B42" s="218">
        <v>2018</v>
      </c>
      <c r="C42" s="138" t="s">
        <v>75</v>
      </c>
      <c r="D42" s="218" t="s">
        <v>2</v>
      </c>
      <c r="E42" s="219" t="s">
        <v>137</v>
      </c>
    </row>
    <row r="43" spans="1:5" x14ac:dyDescent="0.2">
      <c r="A43" s="123" t="s">
        <v>148</v>
      </c>
      <c r="B43" s="218">
        <v>2021</v>
      </c>
      <c r="C43" s="138" t="s">
        <v>75</v>
      </c>
      <c r="D43" s="218" t="s">
        <v>2</v>
      </c>
      <c r="E43" s="219" t="s">
        <v>137</v>
      </c>
    </row>
    <row r="44" spans="1:5" x14ac:dyDescent="0.2">
      <c r="A44" s="123" t="s">
        <v>147</v>
      </c>
      <c r="B44" s="218">
        <v>2021</v>
      </c>
      <c r="C44" s="138" t="s">
        <v>75</v>
      </c>
      <c r="D44" s="218" t="s">
        <v>2</v>
      </c>
      <c r="E44" s="219" t="s">
        <v>137</v>
      </c>
    </row>
    <row r="45" spans="1:5" x14ac:dyDescent="0.2">
      <c r="A45" s="123" t="s">
        <v>146</v>
      </c>
      <c r="B45" s="218">
        <v>2020</v>
      </c>
      <c r="C45" s="138" t="s">
        <v>75</v>
      </c>
      <c r="D45" s="218" t="s">
        <v>138</v>
      </c>
      <c r="E45" s="219" t="s">
        <v>144</v>
      </c>
    </row>
    <row r="46" spans="1:5" x14ac:dyDescent="0.2">
      <c r="A46" s="123" t="s">
        <v>145</v>
      </c>
      <c r="B46" s="218">
        <v>2021</v>
      </c>
      <c r="C46" s="138" t="s">
        <v>75</v>
      </c>
      <c r="D46" s="218" t="s">
        <v>138</v>
      </c>
      <c r="E46" s="219" t="s">
        <v>144</v>
      </c>
    </row>
    <row r="47" spans="1:5" x14ac:dyDescent="0.2">
      <c r="A47" s="123" t="s">
        <v>143</v>
      </c>
      <c r="B47" s="218">
        <v>2020</v>
      </c>
      <c r="C47" s="138" t="s">
        <v>75</v>
      </c>
      <c r="D47" s="218" t="s">
        <v>138</v>
      </c>
      <c r="E47" s="219" t="s">
        <v>137</v>
      </c>
    </row>
    <row r="48" spans="1:5" x14ac:dyDescent="0.2">
      <c r="A48" s="123" t="s">
        <v>142</v>
      </c>
      <c r="B48" s="218">
        <v>2021</v>
      </c>
      <c r="C48" s="138" t="s">
        <v>75</v>
      </c>
      <c r="D48" s="218" t="s">
        <v>138</v>
      </c>
      <c r="E48" s="219" t="s">
        <v>137</v>
      </c>
    </row>
    <row r="49" spans="1:5" x14ac:dyDescent="0.2">
      <c r="A49" s="123" t="s">
        <v>141</v>
      </c>
      <c r="B49" s="218">
        <v>2021</v>
      </c>
      <c r="C49" s="218" t="s">
        <v>75</v>
      </c>
      <c r="D49" s="218" t="s">
        <v>138</v>
      </c>
      <c r="E49" s="219" t="s">
        <v>16</v>
      </c>
    </row>
    <row r="50" spans="1:5" x14ac:dyDescent="0.2">
      <c r="A50" s="123" t="s">
        <v>140</v>
      </c>
      <c r="B50" s="218">
        <v>2021</v>
      </c>
      <c r="C50" s="218" t="s">
        <v>73</v>
      </c>
      <c r="D50" s="218" t="s">
        <v>138</v>
      </c>
      <c r="E50" s="219" t="s">
        <v>137</v>
      </c>
    </row>
    <row r="51" spans="1:5" x14ac:dyDescent="0.2">
      <c r="A51" s="220" t="s">
        <v>139</v>
      </c>
      <c r="B51" s="221">
        <v>2018</v>
      </c>
      <c r="C51" s="221" t="s">
        <v>73</v>
      </c>
      <c r="D51" s="221" t="s">
        <v>138</v>
      </c>
      <c r="E51" s="222" t="s">
        <v>137</v>
      </c>
    </row>
  </sheetData>
  <mergeCells count="1">
    <mergeCell ref="A2:E2"/>
  </mergeCells>
  <dataValidations count="2">
    <dataValidation type="list" allowBlank="1" showInputMessage="1" showErrorMessage="1" sqref="E30" xr:uid="{E1A02796-F2D6-4925-A459-4A50E945A67D}">
      <formula1>"Seed, Early Stage, Growth, Late Stage, Balanced"</formula1>
    </dataValidation>
    <dataValidation type="list" allowBlank="1" showInputMessage="1" showErrorMessage="1" sqref="D5:D16 D51 D26:D43 D24 D19:D22 D45:D49" xr:uid="{3BF6929E-894A-463B-B1BC-33D76A65C13B}">
      <formula1>"ICT, Life Sciences, ECT, Diversified Sectors"</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810e7a61-09d7-4dba-9ecd-2c17461f1b87" ContentTypeId="0x010100C085E17D6B1D4387A3F3C27C8D7960FB006732DBC84B6B4C33BD052CEC2CCF6B2C" PreviousValue="false"/>
</file>

<file path=customXml/item3.xml>��
</file>

<file path=customXml/item4.xml><?xml version="1.0" encoding="utf-8"?>
<ct:contentTypeSchema xmlns:ct="http://schemas.microsoft.com/office/2006/metadata/contentType" xmlns:ma="http://schemas.microsoft.com/office/2006/metadata/properties/metaAttributes" ct:_="" ma:_="" ma:contentTypeName="BDC Business Value Document" ma:contentTypeID="0x010100C085E17D6B1D4387A3F3C27C8D7960FB006732DBC84B6B4C33BD052CEC2CCF6B2C000404785BFB55A64AB669EF27AEA18B50" ma:contentTypeVersion="20" ma:contentTypeDescription="Business value content type for collabware" ma:contentTypeScope="" ma:versionID="ee9c8f3419f8d195a59771660937d280">
  <xsd:schema xmlns:xsd="http://www.w3.org/2001/XMLSchema" xmlns:xs="http://www.w3.org/2001/XMLSchema" xmlns:p="http://schemas.microsoft.com/office/2006/metadata/properties" xmlns:ns2="1dec4731-9845-4c5c-9c13-5cbe24bc0acd" xmlns:ns3="d87898db-8411-45ff-93f2-a140bbf3e5a3" xmlns:ns4="87b57ae3-8130-4f5a-986a-78a4d6a21ff5" targetNamespace="http://schemas.microsoft.com/office/2006/metadata/properties" ma:root="true" ma:fieldsID="e02f95c3083fea5a595f24fc0ee2c131" ns2:_="" ns3:_="" ns4:_="">
    <xsd:import namespace="1dec4731-9845-4c5c-9c13-5cbe24bc0acd"/>
    <xsd:import namespace="d87898db-8411-45ff-93f2-a140bbf3e5a3"/>
    <xsd:import namespace="87b57ae3-8130-4f5a-986a-78a4d6a21ff5"/>
    <xsd:element name="properties">
      <xsd:complexType>
        <xsd:sequence>
          <xsd:element name="documentManagement">
            <xsd:complexType>
              <xsd:all>
                <xsd:element ref="ns2:BDCECM_PersonalInformation" minOccurs="0"/>
                <xsd:element ref="ns2:BDCECM_EssentialRecord" minOccurs="0"/>
                <xsd:element ref="ns2:BDCECMMailOriginalSubject" minOccurs="0"/>
                <xsd:element ref="ns2:BDCECM_BusinessStatus" minOccurs="0"/>
                <xsd:element ref="ns2:BDCECM_ClosingDate" minOccurs="0"/>
                <xsd:element ref="ns2:BDCECMMailObject" minOccurs="0"/>
                <xsd:element ref="ns2:BDCECMMailDate" minOccurs="0"/>
                <xsd:element ref="ns2:BDCECMMailFrom" minOccurs="0"/>
                <xsd:element ref="ns2:BDCECMMailTo" minOccurs="0"/>
                <xsd:element ref="ns2:BDCECMMailAttachments" minOccurs="0"/>
                <xsd:element ref="ns2:BDCECMMailCc" minOccurs="0"/>
                <xsd:element ref="ns2:BDCECMMailImportance" minOccurs="0"/>
                <xsd:element ref="ns2:BDCECMMailReplyTo" minOccurs="0"/>
                <xsd:element ref="ns2:nafdf7a42f644c5e834b860c7ffaece5" minOccurs="0"/>
                <xsd:element ref="ns2:TaxCatchAll" minOccurs="0"/>
                <xsd:element ref="ns2:nd3594618ca347b0830edb8d861d1405" minOccurs="0"/>
                <xsd:element ref="ns2:TaxCatchAllLabel" minOccurs="0"/>
                <xsd:element ref="ns2:p1d5d90637b843e89d9c4445e3979fd3" minOccurs="0"/>
                <xsd:element ref="ns2:j9ae1621eadf48c487cc3d45cc4e09cc" minOccurs="0"/>
                <xsd:element ref="ns3:MediaServiceFastMetadata" minOccurs="0"/>
                <xsd:element ref="ns3:MediaServiceMetadata" minOccurs="0"/>
                <xsd:element ref="ns4:SharedWithUsers" minOccurs="0"/>
                <xsd:element ref="ns4:SharedWithDetails"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ec4731-9845-4c5c-9c13-5cbe24bc0acd" elementFormDefault="qualified">
    <xsd:import namespace="http://schemas.microsoft.com/office/2006/documentManagement/types"/>
    <xsd:import namespace="http://schemas.microsoft.com/office/infopath/2007/PartnerControls"/>
    <xsd:element name="BDCECM_PersonalInformation" ma:index="3" nillable="true" ma:displayName="Personal Information" ma:default="0" ma:internalName="BDCECM_PersonalInformation">
      <xsd:simpleType>
        <xsd:restriction base="dms:Boolean"/>
      </xsd:simpleType>
    </xsd:element>
    <xsd:element name="BDCECM_EssentialRecord" ma:index="4" nillable="true" ma:displayName="Essential Record" ma:default="0" ma:internalName="BDCECM_EssentialRecord">
      <xsd:simpleType>
        <xsd:restriction base="dms:Boolean"/>
      </xsd:simpleType>
    </xsd:element>
    <xsd:element name="BDCECMMailOriginalSubject" ma:index="6" nillable="true" ma:displayName="Original Subject" ma:internalName="BDCECMMailOriginalSubject" ma:readOnly="false">
      <xsd:simpleType>
        <xsd:restriction base="dms:Text">
          <xsd:maxLength value="255"/>
        </xsd:restriction>
      </xsd:simpleType>
    </xsd:element>
    <xsd:element name="BDCECM_BusinessStatus" ma:index="7" nillable="true" ma:displayName="Business Status" ma:internalName="BDCECM_BusinessStatus">
      <xsd:simpleType>
        <xsd:restriction base="dms:Text">
          <xsd:maxLength value="255"/>
        </xsd:restriction>
      </xsd:simpleType>
    </xsd:element>
    <xsd:element name="BDCECM_ClosingDate" ma:index="8" nillable="true" ma:displayName="Closing Date" ma:format="DateOnly" ma:internalName="BDCECM_ClosingDate" ma:readOnly="false">
      <xsd:simpleType>
        <xsd:restriction base="dms:DateTime"/>
      </xsd:simpleType>
    </xsd:element>
    <xsd:element name="BDCECMMailObject" ma:index="11" nillable="true" ma:displayName="Email Subject" ma:internalName="BDCECMMailObject" ma:readOnly="false">
      <xsd:simpleType>
        <xsd:restriction base="dms:Text">
          <xsd:maxLength value="255"/>
        </xsd:restriction>
      </xsd:simpleType>
    </xsd:element>
    <xsd:element name="BDCECMMailDate" ma:index="12" nillable="true" ma:displayName="Email Date" ma:format="DateOnly" ma:internalName="BDCECMMailDate" ma:readOnly="false">
      <xsd:simpleType>
        <xsd:restriction base="dms:DateTime"/>
      </xsd:simpleType>
    </xsd:element>
    <xsd:element name="BDCECMMailFrom" ma:index="13" nillable="true" ma:displayName="Email From" ma:internalName="BDCECMMailFrom" ma:readOnly="false">
      <xsd:simpleType>
        <xsd:restriction base="dms:Text">
          <xsd:maxLength value="255"/>
        </xsd:restriction>
      </xsd:simpleType>
    </xsd:element>
    <xsd:element name="BDCECMMailTo" ma:index="14" nillable="true" ma:displayName="Email To" ma:internalName="BDCECMMailTo" ma:readOnly="false">
      <xsd:simpleType>
        <xsd:restriction base="dms:Text">
          <xsd:maxLength value="255"/>
        </xsd:restriction>
      </xsd:simpleType>
    </xsd:element>
    <xsd:element name="BDCECMMailAttachments" ma:index="15" nillable="true" ma:displayName="Email Attachements" ma:default="0" ma:internalName="BDCECMMailAttachments" ma:readOnly="false">
      <xsd:simpleType>
        <xsd:restriction base="dms:Boolean"/>
      </xsd:simpleType>
    </xsd:element>
    <xsd:element name="BDCECMMailCc" ma:index="16" nillable="true" ma:displayName="Email CC" ma:internalName="BDCECMMailCc" ma:readOnly="false">
      <xsd:simpleType>
        <xsd:restriction base="dms:Text">
          <xsd:maxLength value="255"/>
        </xsd:restriction>
      </xsd:simpleType>
    </xsd:element>
    <xsd:element name="BDCECMMailImportance" ma:index="17" nillable="true" ma:displayName="Email Importance" ma:internalName="BDCECMMailImportance" ma:readOnly="false">
      <xsd:simpleType>
        <xsd:restriction base="dms:Text">
          <xsd:maxLength value="255"/>
        </xsd:restriction>
      </xsd:simpleType>
    </xsd:element>
    <xsd:element name="BDCECMMailReplyTo" ma:index="18" nillable="true" ma:displayName="Reply-To" ma:internalName="BDCECMMailReplyTo" ma:readOnly="false">
      <xsd:simpleType>
        <xsd:restriction base="dms:Text">
          <xsd:maxLength value="255"/>
        </xsd:restriction>
      </xsd:simpleType>
    </xsd:element>
    <xsd:element name="nafdf7a42f644c5e834b860c7ffaece5" ma:index="23" nillable="true" ma:taxonomy="true" ma:internalName="nafdf7a42f644c5e834b860c7ffaece5" ma:taxonomyFieldName="BDCECM_RecordSeries" ma:displayName="Record Series" ma:default="" ma:fieldId="{7afdf7a4-2f64-4c5e-834b-860c7ffaece5}" ma:sspId="810e7a61-09d7-4dba-9ecd-2c17461f1b87" ma:termSetId="3ec1736a-1696-4339-a19f-9b937aa75315" ma:anchorId="00000000-0000-0000-0000-000000000000" ma:open="false" ma:isKeyword="false">
      <xsd:complexType>
        <xsd:sequence>
          <xsd:element ref="pc:Terms" minOccurs="0" maxOccurs="1"/>
        </xsd:sequence>
      </xsd:complexType>
    </xsd:element>
    <xsd:element name="TaxCatchAll" ma:index="24" nillable="true" ma:displayName="Taxonomy Catch All Column" ma:hidden="true" ma:list="{bd13c017-3f76-4701-b2f7-3399200562d0}" ma:internalName="TaxCatchAll" ma:showField="CatchAllData" ma:web="87b57ae3-8130-4f5a-986a-78a4d6a21ff5">
      <xsd:complexType>
        <xsd:complexContent>
          <xsd:extension base="dms:MultiChoiceLookup">
            <xsd:sequence>
              <xsd:element name="Value" type="dms:Lookup" maxOccurs="unbounded" minOccurs="0" nillable="true"/>
            </xsd:sequence>
          </xsd:extension>
        </xsd:complexContent>
      </xsd:complexType>
    </xsd:element>
    <xsd:element name="nd3594618ca347b0830edb8d861d1405" ma:index="26" nillable="true" ma:taxonomy="true" ma:internalName="nd3594618ca347b0830edb8d861d1405" ma:taxonomyFieldName="BDCECM_SMCFunc" ma:displayName="SMC Function" ma:default="" ma:fieldId="{7d359461-8ca3-47b0-830e-db8d861d1405}" ma:sspId="810e7a61-09d7-4dba-9ecd-2c17461f1b87" ma:termSetId="e54a0684-1ead-42b5-9977-99a6fd140189" ma:anchorId="00000000-0000-0000-0000-000000000000" ma:open="false" ma:isKeyword="false">
      <xsd:complexType>
        <xsd:sequence>
          <xsd:element ref="pc:Terms" minOccurs="0" maxOccurs="1"/>
        </xsd:sequence>
      </xsd:complexType>
    </xsd:element>
    <xsd:element name="TaxCatchAllLabel" ma:index="27" nillable="true" ma:displayName="Taxonomy Catch All Column1" ma:hidden="true" ma:list="{bd13c017-3f76-4701-b2f7-3399200562d0}" ma:internalName="TaxCatchAllLabel" ma:readOnly="true" ma:showField="CatchAllDataLabel" ma:web="87b57ae3-8130-4f5a-986a-78a4d6a21ff5">
      <xsd:complexType>
        <xsd:complexContent>
          <xsd:extension base="dms:MultiChoiceLookup">
            <xsd:sequence>
              <xsd:element name="Value" type="dms:Lookup" maxOccurs="unbounded" minOccurs="0" nillable="true"/>
            </xsd:sequence>
          </xsd:extension>
        </xsd:complexContent>
      </xsd:complexType>
    </xsd:element>
    <xsd:element name="p1d5d90637b843e89d9c4445e3979fd3" ma:index="28" nillable="true" ma:taxonomy="true" ma:internalName="p1d5d90637b843e89d9c4445e3979fd3" ma:taxonomyFieldName="BDCECM_InformationSecurityCategorization" ma:displayName="Information Security Categorization" ma:default="" ma:fieldId="{91d5d906-37b8-43e8-9d9c-4445e3979fd3}" ma:sspId="810e7a61-09d7-4dba-9ecd-2c17461f1b87" ma:termSetId="16f48825-0f82-4b35-9735-195c1943399f" ma:anchorId="00000000-0000-0000-0000-000000000000" ma:open="false" ma:isKeyword="false">
      <xsd:complexType>
        <xsd:sequence>
          <xsd:element ref="pc:Terms" minOccurs="0" maxOccurs="1"/>
        </xsd:sequence>
      </xsd:complexType>
    </xsd:element>
    <xsd:element name="j9ae1621eadf48c487cc3d45cc4e09cc" ma:index="29" nillable="true" ma:taxonomy="true" ma:internalName="j9ae1621eadf48c487cc3d45cc4e09cc" ma:taxonomyFieldName="BDCECM_DispApprover" ma:displayName="Disposition Approver" ma:default="" ma:fieldId="{39ae1621-eadf-48c4-87cc-3d45cc4e09cc}" ma:sspId="810e7a61-09d7-4dba-9ecd-2c17461f1b87" ma:termSetId="e54a0684-1ead-42b5-9977-99a6fd140189"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87898db-8411-45ff-93f2-a140bbf3e5a3" elementFormDefault="qualified">
    <xsd:import namespace="http://schemas.microsoft.com/office/2006/documentManagement/types"/>
    <xsd:import namespace="http://schemas.microsoft.com/office/infopath/2007/PartnerControls"/>
    <xsd:element name="MediaServiceFastMetadata" ma:index="31" nillable="true" ma:displayName="MediaServiceFastMetadata" ma:hidden="true" ma:internalName="MediaServiceFastMetadata" ma:readOnly="true">
      <xsd:simpleType>
        <xsd:restriction base="dms:Note"/>
      </xsd:simpleType>
    </xsd:element>
    <xsd:element name="MediaServiceMetadata" ma:index="32" nillable="true" ma:displayName="MediaServiceMetadata" ma:hidden="true" ma:internalName="MediaServiceMetadata" ma:readOnly="true">
      <xsd:simpleType>
        <xsd:restriction base="dms:Note"/>
      </xsd:simpleType>
    </xsd:element>
    <xsd:element name="MediaServiceAutoKeyPoints" ma:index="35" nillable="true" ma:displayName="MediaServiceAutoKeyPoints" ma:hidden="true" ma:internalName="MediaServiceAutoKeyPoints" ma:readOnly="true">
      <xsd:simpleType>
        <xsd:restriction base="dms:Note"/>
      </xsd:simpleType>
    </xsd:element>
    <xsd:element name="MediaServiceKeyPoints" ma:index="3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7b57ae3-8130-4f5a-986a-78a4d6a21ff5" elementFormDefault="qualified">
    <xsd:import namespace="http://schemas.microsoft.com/office/2006/documentManagement/types"/>
    <xsd:import namespace="http://schemas.microsoft.com/office/infopath/2007/PartnerControls"/>
    <xsd:element name="SharedWithUsers" ma:index="3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2"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BDCECMMailObject xmlns="1dec4731-9845-4c5c-9c13-5cbe24bc0acd" xsi:nil="true"/>
    <BDCECMMailDate xmlns="1dec4731-9845-4c5c-9c13-5cbe24bc0acd" xsi:nil="true"/>
    <BDCECMMailTo xmlns="1dec4731-9845-4c5c-9c13-5cbe24bc0acd" xsi:nil="true"/>
    <BDCECMMailReplyTo xmlns="1dec4731-9845-4c5c-9c13-5cbe24bc0acd" xsi:nil="true"/>
    <nafdf7a42f644c5e834b860c7ffaece5 xmlns="1dec4731-9845-4c5c-9c13-5cbe24bc0acd">
      <Terms xmlns="http://schemas.microsoft.com/office/infopath/2007/PartnerControls">
        <TermInfo xmlns="http://schemas.microsoft.com/office/infopath/2007/PartnerControls">
          <TermName xmlns="http://schemas.microsoft.com/office/infopath/2007/PartnerControls">3099-15 - Reporting and Analysis</TermName>
          <TermId xmlns="http://schemas.microsoft.com/office/infopath/2007/PartnerControls">d27d806a-7106-40ed-9fa3-4d19551fc1d4</TermId>
        </TermInfo>
      </Terms>
    </nafdf7a42f644c5e834b860c7ffaece5>
    <BDCECM_ClosingDate xmlns="1dec4731-9845-4c5c-9c13-5cbe24bc0acd" xsi:nil="true"/>
    <BDCECMMailCc xmlns="1dec4731-9845-4c5c-9c13-5cbe24bc0acd" xsi:nil="true"/>
    <p1d5d90637b843e89d9c4445e3979fd3 xmlns="1dec4731-9845-4c5c-9c13-5cbe24bc0acd">
      <Terms xmlns="http://schemas.microsoft.com/office/infopath/2007/PartnerControls">
        <TermInfo xmlns="http://schemas.microsoft.com/office/infopath/2007/PartnerControls">
          <TermName xmlns="http://schemas.microsoft.com/office/infopath/2007/PartnerControls">Limited</TermName>
          <TermId xmlns="http://schemas.microsoft.com/office/infopath/2007/PartnerControls">df490007-b3cd-426a-8013-ffab46985cca</TermId>
        </TermInfo>
      </Terms>
    </p1d5d90637b843e89d9c4445e3979fd3>
    <j9ae1621eadf48c487cc3d45cc4e09cc xmlns="1dec4731-9845-4c5c-9c13-5cbe24bc0acd">
      <Terms xmlns="http://schemas.microsoft.com/office/infopath/2007/PartnerControls">
        <TermInfo xmlns="http://schemas.microsoft.com/office/infopath/2007/PartnerControls">
          <TermName xmlns="http://schemas.microsoft.com/office/infopath/2007/PartnerControls">VP Market Development</TermName>
          <TermId xmlns="http://schemas.microsoft.com/office/infopath/2007/PartnerControls">58d2f563-d90a-4b09-a1f1-febe89343e29</TermId>
        </TermInfo>
      </Terms>
    </j9ae1621eadf48c487cc3d45cc4e09cc>
    <BDCECM_BusinessStatus xmlns="1dec4731-9845-4c5c-9c13-5cbe24bc0acd" xsi:nil="true"/>
    <BDCECMMailAttachments xmlns="1dec4731-9845-4c5c-9c13-5cbe24bc0acd">false</BDCECMMailAttachments>
    <BDCECM_EssentialRecord xmlns="1dec4731-9845-4c5c-9c13-5cbe24bc0acd">false</BDCECM_EssentialRecord>
    <nd3594618ca347b0830edb8d861d1405 xmlns="1dec4731-9845-4c5c-9c13-5cbe24bc0acd">
      <Terms xmlns="http://schemas.microsoft.com/office/infopath/2007/PartnerControls">
        <TermInfo xmlns="http://schemas.microsoft.com/office/infopath/2007/PartnerControls">
          <TermName xmlns="http://schemas.microsoft.com/office/infopath/2007/PartnerControls">EVP BDC Capital</TermName>
          <TermId xmlns="http://schemas.microsoft.com/office/infopath/2007/PartnerControls">18446fe8-994d-4dc8-8718-1b36ad28b9fe</TermId>
        </TermInfo>
      </Terms>
    </nd3594618ca347b0830edb8d861d1405>
    <BDCECM_PersonalInformation xmlns="1dec4731-9845-4c5c-9c13-5cbe24bc0acd">false</BDCECM_PersonalInformation>
    <BDCECMMailImportance xmlns="1dec4731-9845-4c5c-9c13-5cbe24bc0acd" xsi:nil="true"/>
    <BDCECMMailOriginalSubject xmlns="1dec4731-9845-4c5c-9c13-5cbe24bc0acd" xsi:nil="true"/>
    <BDCECMMailFrom xmlns="1dec4731-9845-4c5c-9c13-5cbe24bc0acd" xsi:nil="true"/>
    <TaxCatchAll xmlns="1dec4731-9845-4c5c-9c13-5cbe24bc0acd">
      <Value>4</Value>
      <Value>2</Value>
      <Value>1</Value>
      <Value>7</Value>
    </TaxCatchAll>
  </documentManagement>
</p:properties>
</file>

<file path=customXml/itemProps1.xml><?xml version="1.0" encoding="utf-8"?>
<ds:datastoreItem xmlns:ds="http://schemas.openxmlformats.org/officeDocument/2006/customXml" ds:itemID="{56BF3195-761E-46B4-93A4-5F00D6DE5EF6}">
  <ds:schemaRefs>
    <ds:schemaRef ds:uri="http://schemas.microsoft.com/sharepoint/v3/contenttype/forms"/>
  </ds:schemaRefs>
</ds:datastoreItem>
</file>

<file path=customXml/itemProps2.xml><?xml version="1.0" encoding="utf-8"?>
<ds:datastoreItem xmlns:ds="http://schemas.openxmlformats.org/officeDocument/2006/customXml" ds:itemID="{518A9F76-815B-494E-8965-EA40F38345E3}">
  <ds:schemaRefs>
    <ds:schemaRef ds:uri="Microsoft.SharePoint.Taxonomy.ContentTypeSync"/>
  </ds:schemaRefs>
</ds:datastoreItem>
</file>

<file path=customXml/itemProps3.xml><?xml version="1.0" encoding="utf-8"?>
<ds:datastoreItem xmlns:ds="http://schemas.openxmlformats.org/officeDocument/2006/customXml" ds:itemID="{07498BFD-F2C2-4A9B-B0B8-10DD44C9B0B7}">
  <ds:schemaRefs>
    <ds:schemaRef ds:uri="http://schemas.microsoft.com/DataMashup"/>
  </ds:schemaRefs>
</ds:datastoreItem>
</file>

<file path=customXml/itemProps4.xml><?xml version="1.0" encoding="utf-8"?>
<ds:datastoreItem xmlns:ds="http://schemas.openxmlformats.org/officeDocument/2006/customXml" ds:itemID="{510FF98F-93F1-4C94-9AA2-F752E63125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ec4731-9845-4c5c-9c13-5cbe24bc0acd"/>
    <ds:schemaRef ds:uri="d87898db-8411-45ff-93f2-a140bbf3e5a3"/>
    <ds:schemaRef ds:uri="87b57ae3-8130-4f5a-986a-78a4d6a21f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E2E362F9-AEC4-42A7-AA67-7BBC37AFA494}">
  <ds:schemaRefs>
    <ds:schemaRef ds:uri="http://schemas.microsoft.com/office/2006/documentManagement/types"/>
    <ds:schemaRef ds:uri="http://schemas.microsoft.com/office/2006/metadata/properties"/>
    <ds:schemaRef ds:uri="1dec4731-9845-4c5c-9c13-5cbe24bc0acd"/>
    <ds:schemaRef ds:uri="d87898db-8411-45ff-93f2-a140bbf3e5a3"/>
    <ds:schemaRef ds:uri="http://purl.org/dc/elements/1.1/"/>
    <ds:schemaRef ds:uri="http://schemas.microsoft.com/office/infopath/2007/PartnerControls"/>
    <ds:schemaRef ds:uri="http://purl.org/dc/dcmitype/"/>
    <ds:schemaRef ds:uri="http://purl.org/dc/terms/"/>
    <ds:schemaRef ds:uri="http://schemas.openxmlformats.org/package/2006/metadata/core-properties"/>
    <ds:schemaRef ds:uri="87b57ae3-8130-4f5a-986a-78a4d6a21ff5"/>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Cover page</vt:lpstr>
      <vt:lpstr>Notes </vt:lpstr>
      <vt:lpstr>Index</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NGO, Roland (OTTAWA)</dc:creator>
  <cp:keywords/>
  <dc:description/>
  <cp:lastModifiedBy>Turcotte, Kaleb (ISED/ISDE)</cp:lastModifiedBy>
  <cp:revision/>
  <dcterms:created xsi:type="dcterms:W3CDTF">2020-07-06T13:36:33Z</dcterms:created>
  <dcterms:modified xsi:type="dcterms:W3CDTF">2026-03-31T17:04:16Z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0x010100C085E17D6B1D4387A3F3C27C8D7960FB006732DBC84B6B4C33BD052CEC2CCF6B2C000404785BFB55A64AB669EF27AEA18B50</vt:lpwstr>
  </property>
  <property fmtid="{D5CDD505-2E9C-101B-9397-08002B2CF9AE}" pid="3" name="BDCECM_InformationSecurityCategorization">
    <vt:lpwstr>4;#Limited|df490007-b3cd-426a-8013-ffab46985cca</vt:lpwstr>
  </property>
  <property fmtid="{D5CDD505-2E9C-101B-9397-08002B2CF9AE}" pid="4" name="BDCECM_RecordSeries">
    <vt:lpwstr>7;#3099-15 - Reporting and Analysis|d27d806a-7106-40ed-9fa3-4d19551fc1d4</vt:lpwstr>
  </property>
  <property fmtid="{D5CDD505-2E9C-101B-9397-08002B2CF9AE}" pid="5" name="BDCECM_SMCFunc">
    <vt:lpwstr>2;#EVP BDC Capital|18446fe8-994d-4dc8-8718-1b36ad28b9fe</vt:lpwstr>
  </property>
  <property fmtid="{D5CDD505-2E9C-101B-9397-08002B2CF9AE}" pid="6" name="BDCECM_DispApprover">
    <vt:lpwstr>1;#VP Market Development|58d2f563-d90a-4b09-a1f1-febe89343e29</vt:lpwstr>
  </property>
  <property fmtid="{D5CDD505-2E9C-101B-9397-08002B2CF9AE}" pid="7" name="_NewReviewCycle">
    <vt:lpwstr/>
  </property>
  <property fmtid="{D5CDD505-2E9C-101B-9397-08002B2CF9AE}" pid="8" name="MediaServiceImageTags">
    <vt:lpwstr/>
  </property>
  <property fmtid="{D5CDD505-2E9C-101B-9397-08002B2CF9AE}" pid="9" name="lcf76f155ced4ddcb4097134ff3c332f">
    <vt:lpwstr/>
  </property>
</Properties>
</file>